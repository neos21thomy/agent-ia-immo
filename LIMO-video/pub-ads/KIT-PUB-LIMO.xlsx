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Checklist" sheetId="2" state="visible" r:id="rId2"/>
    <sheet name="Hypothèses" sheetId="3" state="visible" r:id="rId3"/>
    <sheet name="Pilotage" sheetId="4" state="visible" r:id="rId4"/>
    <sheet name="Meta - Annonces" sheetId="5" state="visible" r:id="rId5"/>
    <sheet name="Google - Annonces" sheetId="6" state="visible" r:id="rId6"/>
    <sheet name="Mots-clés" sheetId="7" state="visible" r:id="rId7"/>
    <sheet name="Exclusions" sheetId="8" state="visible" r:id="rId8"/>
  </sheets>
  <definedNames/>
  <calcPr calcId="124519" fullCalcOnLoad="1"/>
</workbook>
</file>

<file path=xl/styles.xml><?xml version="1.0" encoding="utf-8"?>
<styleSheet xmlns="http://schemas.openxmlformats.org/spreadsheetml/2006/main">
  <numFmts count="6">
    <numFmt numFmtId="164" formatCode="#,##0 &quot;€&quot;"/>
    <numFmt numFmtId="165" formatCode="yyyy-mm-dd"/>
    <numFmt numFmtId="166" formatCode="dd/mm/yyyy"/>
    <numFmt numFmtId="167" formatCode="0.00 &quot;€&quot;"/>
    <numFmt numFmtId="168" formatCode="0.0%"/>
    <numFmt numFmtId="169" formatCode="0 &quot;€&quot;"/>
  </numFmts>
  <fonts count="11">
    <font>
      <name val="Calibri"/>
      <family val="2"/>
      <color theme="1"/>
      <sz val="11"/>
      <scheme val="minor"/>
    </font>
    <font>
      <name val="Arial"/>
      <b val="1"/>
      <color rgb="002A1F6B"/>
      <sz val="16"/>
    </font>
    <font>
      <name val="Arial"/>
      <i val="1"/>
      <color rgb="006B4FE0"/>
      <sz val="10"/>
    </font>
    <font>
      <name val="Arial"/>
      <b val="1"/>
      <color rgb="00FFFFFF"/>
      <sz val="11"/>
    </font>
    <font>
      <name val="Arial"/>
      <b val="1"/>
      <sz val="10"/>
    </font>
    <font>
      <name val="Arial"/>
      <sz val="10"/>
    </font>
    <font>
      <name val="Arial"/>
      <color rgb="000000FF"/>
      <sz val="10"/>
    </font>
    <font>
      <name val="Arial"/>
      <i val="1"/>
      <color rgb="00AA0000"/>
      <sz val="10"/>
    </font>
    <font>
      <name val="Arial"/>
      <b val="1"/>
      <color rgb="006B4FE0"/>
    </font>
    <font>
      <name val="Arial"/>
      <i val="1"/>
      <sz val="9"/>
    </font>
    <font>
      <name val="Arial"/>
      <i val="1"/>
      <color rgb="00AA0000"/>
      <sz val="9"/>
    </font>
  </fonts>
  <fills count="5">
    <fill>
      <patternFill/>
    </fill>
    <fill>
      <patternFill patternType="gray125"/>
    </fill>
    <fill>
      <patternFill patternType="solid">
        <fgColor rgb="002A1F6B"/>
      </patternFill>
    </fill>
    <fill>
      <patternFill patternType="solid">
        <fgColor rgb="00FFF6C8"/>
      </patternFill>
    </fill>
    <fill>
      <patternFill patternType="solid">
        <fgColor rgb="00F1EEFC"/>
      </patternFill>
    </fill>
  </fills>
  <borders count="2">
    <border>
      <left/>
      <right/>
      <top/>
      <bottom/>
      <diagonal/>
    </border>
    <border>
      <left style="thin">
        <color rgb="00D5D0EE"/>
      </left>
      <right style="thin">
        <color rgb="00D5D0EE"/>
      </right>
      <top style="thin">
        <color rgb="00D5D0EE"/>
      </top>
      <bottom style="thin">
        <color rgb="00D5D0EE"/>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0" borderId="0" pivotButton="0" quotePrefix="0" xfId="0"/>
    <xf numFmtId="0" fontId="6" fillId="3" borderId="0" pivotButton="0" quotePrefix="0" xfId="0"/>
    <xf numFmtId="0" fontId="5" fillId="0" borderId="0" pivotButton="0" quotePrefix="0" xfId="0"/>
    <xf numFmtId="0" fontId="7" fillId="0" borderId="0" pivotButton="0" quotePrefix="0" xfId="0"/>
    <xf numFmtId="0" fontId="3" fillId="2" borderId="1" applyAlignment="1" pivotButton="0" quotePrefix="0" xfId="0">
      <alignment vertical="center" wrapText="1"/>
    </xf>
    <xf numFmtId="0" fontId="6" fillId="3" borderId="1" pivotButton="0" quotePrefix="0" xfId="0"/>
    <xf numFmtId="9" fontId="4" fillId="0" borderId="0" pivotButton="0" quotePrefix="0" xfId="0"/>
    <xf numFmtId="164" fontId="6" fillId="3" borderId="1" applyAlignment="1" pivotButton="0" quotePrefix="0" xfId="0">
      <alignment vertical="top" wrapText="1"/>
    </xf>
    <xf numFmtId="0" fontId="6" fillId="3" borderId="1" applyAlignment="1" pivotButton="0" quotePrefix="0" xfId="0">
      <alignment vertical="top" wrapText="1"/>
    </xf>
    <xf numFmtId="9" fontId="6" fillId="3" borderId="1" applyAlignment="1" pivotButton="0" quotePrefix="0" xfId="0">
      <alignment vertical="top" wrapText="1"/>
    </xf>
    <xf numFmtId="0" fontId="8" fillId="0" borderId="0" pivotButton="0" quotePrefix="0" xfId="0"/>
    <xf numFmtId="164" fontId="4" fillId="4" borderId="1" applyAlignment="1" pivotButton="0" quotePrefix="0" xfId="0">
      <alignment vertical="top" wrapText="1"/>
    </xf>
    <xf numFmtId="166" fontId="5" fillId="0" borderId="1" pivotButton="0" quotePrefix="0" xfId="0"/>
    <xf numFmtId="0" fontId="5" fillId="0" borderId="1" pivotButton="0" quotePrefix="0" xfId="0"/>
    <xf numFmtId="164" fontId="6" fillId="3" borderId="1" pivotButton="0" quotePrefix="0" xfId="0"/>
    <xf numFmtId="3" fontId="6" fillId="3" borderId="1" pivotButton="0" quotePrefix="0" xfId="0"/>
    <xf numFmtId="167" fontId="5" fillId="0" borderId="1" pivotButton="0" quotePrefix="0" xfId="0"/>
    <xf numFmtId="168" fontId="5" fillId="0" borderId="1" pivotButton="0" quotePrefix="0" xfId="0"/>
    <xf numFmtId="10" fontId="5" fillId="0" borderId="1" pivotButton="0" quotePrefix="0" xfId="0"/>
    <xf numFmtId="169" fontId="5" fillId="0" borderId="1" pivotButton="0" quotePrefix="0" xfId="0"/>
    <xf numFmtId="0" fontId="4" fillId="0" borderId="1" pivotButton="0" quotePrefix="0" xfId="0"/>
    <xf numFmtId="164" fontId="4" fillId="4" borderId="1" pivotButton="0" quotePrefix="0" xfId="0"/>
    <xf numFmtId="3" fontId="4" fillId="4" borderId="1" pivotButton="0" quotePrefix="0" xfId="0"/>
    <xf numFmtId="0" fontId="0" fillId="0" borderId="1" pivotButton="0" quotePrefix="0" xfId="0"/>
    <xf numFmtId="168" fontId="0" fillId="0" borderId="1" pivotButton="0" quotePrefix="0" xfId="0"/>
    <xf numFmtId="167" fontId="0" fillId="0" borderId="1" pivotButton="0" quotePrefix="0" xfId="0"/>
    <xf numFmtId="169" fontId="0" fillId="0" borderId="1" pivotButton="0" quotePrefix="0" xfId="0"/>
    <xf numFmtId="168" fontId="4" fillId="0" borderId="0" pivotButton="0" quotePrefix="0" xfId="0"/>
    <xf numFmtId="0" fontId="9" fillId="0" borderId="0" pivotButton="0" quotePrefix="0" xfId="0"/>
    <xf numFmtId="0" fontId="5" fillId="0" borderId="0" applyAlignment="1" pivotButton="0" quotePrefix="0" xfId="0">
      <alignment vertical="top" wrapText="1"/>
    </xf>
    <xf numFmtId="0" fontId="3" fillId="2" borderId="1" pivotButton="0" quotePrefix="0" xfId="0"/>
    <xf numFmtId="0" fontId="10" fillId="0" borderId="0" pivotButton="0" quotePrefix="0" xfId="0"/>
    <xf numFmtId="167" fontId="6" fillId="3" borderId="1" pivotButton="0" quotePrefix="0" xfId="0"/>
    <xf numFmtId="0" fontId="9" fillId="0" borderId="0" applyAlignment="1" pivotButton="0" quotePrefix="0" xfId="0">
      <alignment vertical="top" wrapText="1"/>
    </xf>
  </cellXfs>
  <cellStyles count="1">
    <cellStyle name="Normal" xfId="0" builtinId="0" hidden="0"/>
  </cellStyles>
  <dxfs count="4">
    <dxf>
      <font>
        <name val="Arial"/>
        <b val="1"/>
        <color rgb="000B6E63"/>
      </font>
      <fill>
        <patternFill patternType="solid">
          <fgColor rgb="00CDEFE9"/>
        </patternFill>
      </fill>
    </dxf>
    <dxf>
      <font>
        <name val="Arial"/>
        <b val="1"/>
        <color rgb="00C00000"/>
      </font>
    </dxf>
    <dxf>
      <fill>
        <patternFill patternType="solid">
          <fgColor rgb="00FBD5D5"/>
        </patternFill>
      </fill>
    </dxf>
    <dxf>
      <fill>
        <patternFill patternType="solid">
          <fgColor rgb="00CDEF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LIMO</author>
  </authors>
  <commentList>
    <comment ref="A4" authorId="0" shapeId="0">
      <text>
        <t>Lignes 4-5 = EXEMPLE de saisie (chiffres fictifs). Remplace-les par tes vrais chiffres.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24" customWidth="1" min="1" max="1"/>
    <col width="70" customWidth="1" min="2" max="2"/>
    <col width="40" customWidth="1" min="3" max="3"/>
  </cols>
  <sheetData>
    <row r="1">
      <c r="A1" s="1" t="inlineStr">
        <is>
          <t>KIT PUB LIMO — Meta Ads + Google Ads</t>
        </is>
      </c>
    </row>
    <row r="2">
      <c r="A2" s="2" t="inlineStr">
        <is>
          <t>Le bras droit du conseiller immo · Essai 14 jours sans CB · Dès 49 €/mois</t>
        </is>
      </c>
    </row>
    <row r="4">
      <c r="A4" s="3" t="inlineStr">
        <is>
          <t>Onglet</t>
        </is>
      </c>
      <c r="B4" s="3" t="inlineStr">
        <is>
          <t>À quoi il sert</t>
        </is>
      </c>
      <c r="C4" s="3" t="inlineStr">
        <is>
          <t>Quand l'utiliser</t>
        </is>
      </c>
    </row>
    <row r="5">
      <c r="A5" s="4" t="inlineStr">
        <is>
          <t>Checklist</t>
        </is>
      </c>
      <c r="B5" s="5" t="inlineStr">
        <is>
          <t>Tout ce qu'il faut installer AVANT de dépenser 1 €</t>
        </is>
      </c>
      <c r="C5" s="5" t="inlineStr">
        <is>
          <t>Jour 1, une seule fois</t>
        </is>
      </c>
    </row>
    <row r="6">
      <c r="A6" s="4" t="inlineStr">
        <is>
          <t>Hypothèses</t>
        </is>
      </c>
      <c r="B6" s="5" t="inlineStr">
        <is>
          <t>Ton prix, ta rétention, ton taux essai→payant → calcule ton coût max par essai</t>
        </is>
      </c>
      <c r="C6" s="5" t="inlineStr">
        <is>
          <t>Jour 1, puis chaque mois avec tes vrais chiffres</t>
        </is>
      </c>
    </row>
    <row r="7">
      <c r="A7" s="4" t="inlineStr">
        <is>
          <t>Pilotage</t>
        </is>
      </c>
      <c r="B7" s="5" t="inlineStr">
        <is>
          <t>Tableau hebdo : tu tapes 8 chiffres par canal, il calcule tout et te dit quoi faire</t>
        </is>
      </c>
      <c r="C7" s="5" t="inlineStr">
        <is>
          <t>Chaque lundi, 10 min</t>
        </is>
      </c>
    </row>
    <row r="8">
      <c r="A8" s="4" t="inlineStr">
        <is>
          <t>Meta - Annonces</t>
        </is>
      </c>
      <c r="B8" s="5" t="inlineStr">
        <is>
          <t>Textes prêts à coller pour chaque vidéo + lien avec UTM</t>
        </is>
      </c>
      <c r="C8" s="5" t="inlineStr">
        <is>
          <t>À la création des pubs</t>
        </is>
      </c>
    </row>
    <row r="9">
      <c r="A9" s="4" t="inlineStr">
        <is>
          <t>Google - Annonces</t>
        </is>
      </c>
      <c r="B9" s="5" t="inlineStr">
        <is>
          <t>15 titres + 4 descriptions + extensions (longueurs vérifiées)</t>
        </is>
      </c>
      <c r="C9" s="5" t="inlineStr">
        <is>
          <t>À la création de la campagne Search</t>
        </is>
      </c>
    </row>
    <row r="10">
      <c r="A10" s="4" t="inlineStr">
        <is>
          <t>Mots-clés</t>
        </is>
      </c>
      <c r="B10" s="5" t="inlineStr">
        <is>
          <t>Mots-clés par groupe d'annonces + CPC max de départ</t>
        </is>
      </c>
      <c r="C10" s="5" t="inlineStr">
        <is>
          <t>Création campagne, puis revue hebdo</t>
        </is>
      </c>
    </row>
    <row r="11">
      <c r="A11" s="4" t="inlineStr">
        <is>
          <t>Exclusions</t>
        </is>
      </c>
      <c r="B11" s="5" t="inlineStr">
        <is>
          <t>Mots-clés négatifs à ajouter dès le départ</t>
        </is>
      </c>
      <c r="C11" s="5" t="inlineStr">
        <is>
          <t>Création campagne</t>
        </is>
      </c>
    </row>
    <row r="13">
      <c r="A13" s="6" t="inlineStr">
        <is>
          <t>Légende des couleurs</t>
        </is>
      </c>
    </row>
    <row r="14">
      <c r="A14" s="7" t="inlineStr">
        <is>
          <t>Texte bleu sur fond jaune</t>
        </is>
      </c>
      <c r="B14" s="8">
        <f> cellule à remplir par toi (chiffres de tes comptes pub / de l'app)</f>
        <v/>
      </c>
    </row>
    <row r="15">
      <c r="A15" s="8" t="inlineStr">
        <is>
          <t>Texte noir</t>
        </is>
      </c>
      <c r="B15" s="8">
        <f> formule calculée automatiquement, ne pas toucher</f>
        <v/>
      </c>
    </row>
    <row r="17">
      <c r="A17" s="9" t="inlineStr">
        <is>
          <t>Les chiffres de départ (prix, rétention, taux) sont des hypothèses à remplacer par tes vrais chiffres dès que tu les 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5" customWidth="1" min="1" max="1"/>
    <col width="16" customWidth="1" min="2" max="2"/>
    <col width="80" customWidth="1" min="3" max="3"/>
    <col width="50" customWidth="1" min="4" max="4"/>
    <col width="14" customWidth="1" min="5" max="5"/>
  </cols>
  <sheetData>
    <row r="1">
      <c r="A1" s="1" t="inlineStr">
        <is>
          <t>Checklist d'installation — à faire avant de lancer</t>
        </is>
      </c>
    </row>
    <row r="3" ht="32" customHeight="1">
      <c r="A3" s="10" t="inlineStr">
        <is>
          <t>#</t>
        </is>
      </c>
      <c r="B3" s="10" t="inlineStr">
        <is>
          <t>Domaine</t>
        </is>
      </c>
      <c r="C3" s="10" t="inlineStr">
        <is>
          <t>Étape (où / comment)</t>
        </is>
      </c>
      <c r="D3" s="10" t="inlineStr">
        <is>
          <t>Pourquoi</t>
        </is>
      </c>
      <c r="E3" s="10" t="inlineStr">
        <is>
          <t>Statut</t>
        </is>
      </c>
    </row>
    <row r="4">
      <c r="A4" s="5" t="n">
        <v>1</v>
      </c>
      <c r="B4" s="5" t="inlineStr">
        <is>
          <t>Landing page</t>
        </is>
      </c>
      <c r="C4" s="5" t="inlineStr">
        <is>
          <t>Remplacer toute mention « 1 mois » par « 14 jours, sans carte bancaire » (titre, bouton, FAQ)</t>
        </is>
      </c>
      <c r="D4" s="5" t="inlineStr">
        <is>
          <t>Même promesse pub = page, sinon conversion en chute et refus Meta possible</t>
        </is>
      </c>
      <c r="E4" s="11" t="inlineStr">
        <is>
          <t>À faire</t>
        </is>
      </c>
    </row>
    <row r="5">
      <c r="A5" s="5" t="n">
        <v>2</v>
      </c>
      <c r="B5" s="5" t="inlineStr">
        <is>
          <t>Landing page</t>
        </is>
      </c>
      <c r="C5" s="5" t="inlineStr">
        <is>
          <t>Bouton « Réserver une démo de 15 min » visible + formulaire d'essai en moins de 3 champs</t>
        </is>
      </c>
      <c r="D5" s="5" t="inlineStr">
        <is>
          <t>Chaque champ en plus fait perdre des inscrits</t>
        </is>
      </c>
      <c r="E5" s="11" t="inlineStr">
        <is>
          <t>À faire</t>
        </is>
      </c>
    </row>
    <row r="6">
      <c r="A6" s="5" t="n">
        <v>3</v>
      </c>
      <c r="B6" s="5" t="inlineStr">
        <is>
          <t>Landing page</t>
        </is>
      </c>
      <c r="C6" s="5" t="inlineStr">
        <is>
          <t>Mentions légales, politique de confidentialité et CGV accessibles en bas de page</t>
        </is>
      </c>
      <c r="D6" s="5" t="inlineStr">
        <is>
          <t>Obligatoire + vérifié par Meta et Google</t>
        </is>
      </c>
      <c r="E6" s="11" t="inlineStr">
        <is>
          <t>À faire</t>
        </is>
      </c>
    </row>
    <row r="7">
      <c r="A7" s="5" t="n">
        <v>4</v>
      </c>
      <c r="B7" s="5" t="inlineStr">
        <is>
          <t>Cookies</t>
        </is>
      </c>
      <c r="C7" s="5" t="inlineStr">
        <is>
          <t>Bandeau de consentement compatible Consent Mode v2 (ex. Axeptio, Didomi, Cookiebot)</t>
        </is>
      </c>
      <c r="D7" s="5" t="inlineStr">
        <is>
          <t>Obligatoire en Europe (RGPD/CNIL) ; sans lui Google limite le suivi</t>
        </is>
      </c>
      <c r="E7" s="11" t="inlineStr">
        <is>
          <t>À faire</t>
        </is>
      </c>
    </row>
    <row r="8">
      <c r="A8" s="5" t="n">
        <v>5</v>
      </c>
      <c r="B8" s="5" t="inlineStr">
        <is>
          <t>Meta</t>
        </is>
      </c>
      <c r="C8" s="5" t="inlineStr">
        <is>
          <t>Créer le Business Manager (business.facebook.com), y rattacher la Page LIMO + le compte Instagram</t>
        </is>
      </c>
      <c r="D8" s="5" t="inlineStr">
        <is>
          <t>Base de tout</t>
        </is>
      </c>
      <c r="E8" s="11" t="inlineStr">
        <is>
          <t>À faire</t>
        </is>
      </c>
    </row>
    <row r="9">
      <c r="A9" s="5" t="n">
        <v>6</v>
      </c>
      <c r="B9" s="5" t="inlineStr">
        <is>
          <t>Meta</t>
        </is>
      </c>
      <c r="C9" s="5" t="inlineStr">
        <is>
          <t>Activer la double authentification sur ton compte et le Business Manager</t>
        </is>
      </c>
      <c r="D9" s="5" t="inlineStr">
        <is>
          <t>Évite le piratage du compte pub (fréquent)</t>
        </is>
      </c>
      <c r="E9" s="11" t="inlineStr">
        <is>
          <t>À faire</t>
        </is>
      </c>
    </row>
    <row r="10">
      <c r="A10" s="5" t="n">
        <v>7</v>
      </c>
      <c r="B10" s="5" t="inlineStr">
        <is>
          <t>Meta</t>
        </is>
      </c>
      <c r="C10" s="5" t="inlineStr">
        <is>
          <t>Créer le compte publicitaire, devise EUR, fuseau Europe/Paris, moyen de paiement</t>
        </is>
      </c>
      <c r="D10" s="5" t="inlineStr">
        <is>
          <t>Fuseau et devise ne se changent plus ensuite</t>
        </is>
      </c>
      <c r="E10" s="11" t="inlineStr">
        <is>
          <t>À faire</t>
        </is>
      </c>
    </row>
    <row r="11">
      <c r="A11" s="5" t="n">
        <v>8</v>
      </c>
      <c r="B11" s="5" t="inlineStr">
        <is>
          <t>Meta</t>
        </is>
      </c>
      <c r="C11" s="5" t="inlineStr">
        <is>
          <t>Vérifier le domaine leadengineai.fr (Paramètres de l'entreprise → Sécurité de la marque → Domaines)</t>
        </is>
      </c>
      <c r="D11" s="5" t="inlineStr">
        <is>
          <t>Nécessaire pour configurer les conversions</t>
        </is>
      </c>
      <c r="E11" s="11" t="inlineStr">
        <is>
          <t>À faire</t>
        </is>
      </c>
    </row>
    <row r="12">
      <c r="A12" s="5" t="n">
        <v>9</v>
      </c>
      <c r="B12" s="5" t="inlineStr">
        <is>
          <t>Meta</t>
        </is>
      </c>
      <c r="C12" s="5" t="inlineStr">
        <is>
          <t>Installer le Pixel Meta sur app.leadengineai.fr (toutes les pages)</t>
        </is>
      </c>
      <c r="D12" s="5" t="inlineStr">
        <is>
          <t>Mesure les visites et conversions</t>
        </is>
      </c>
      <c r="E12" s="11" t="inlineStr">
        <is>
          <t>À faire</t>
        </is>
      </c>
    </row>
    <row r="13">
      <c r="A13" s="5" t="n">
        <v>10</v>
      </c>
      <c r="B13" s="5" t="inlineStr">
        <is>
          <t>Meta</t>
        </is>
      </c>
      <c r="C13" s="5" t="inlineStr">
        <is>
          <t>Activer la Conversions API (via Gestionnaire d'événements, intégration partenaire ou serveur)</t>
        </is>
      </c>
      <c r="D13" s="5" t="inlineStr">
        <is>
          <t>Récupère les conversions perdues (iPhone, bloqueurs)</t>
        </is>
      </c>
      <c r="E13" s="11" t="inlineStr">
        <is>
          <t>À faire</t>
        </is>
      </c>
    </row>
    <row r="14">
      <c r="A14" s="5" t="n">
        <v>11</v>
      </c>
      <c r="B14" s="5" t="inlineStr">
        <is>
          <t>Meta</t>
        </is>
      </c>
      <c r="C14" s="5" t="inlineStr">
        <is>
          <t>Événements : Lead (démo réservée), CompleteRegistration (essai démarré), Subscribe (passage payant)</t>
        </is>
      </c>
      <c r="D14" s="5" t="inlineStr">
        <is>
          <t>C'est ce que l'algorithme va optimiser</t>
        </is>
      </c>
      <c r="E14" s="11" t="inlineStr">
        <is>
          <t>À faire</t>
        </is>
      </c>
    </row>
    <row r="15">
      <c r="A15" s="5" t="n">
        <v>12</v>
      </c>
      <c r="B15" s="5" t="inlineStr">
        <is>
          <t>Meta</t>
        </is>
      </c>
      <c r="C15" s="5" t="inlineStr">
        <is>
          <t>Tester les événements avec l'outil « Tester les événements » du Gestionnaire d'événements</t>
        </is>
      </c>
      <c r="D15" s="5" t="inlineStr">
        <is>
          <t>Ne jamais lancer sans voir les événements remonter</t>
        </is>
      </c>
      <c r="E15" s="11" t="inlineStr">
        <is>
          <t>À faire</t>
        </is>
      </c>
    </row>
    <row r="16">
      <c r="A16" s="5" t="n">
        <v>13</v>
      </c>
      <c r="B16" s="5" t="inlineStr">
        <is>
          <t>Google</t>
        </is>
      </c>
      <c r="C16" s="5" t="inlineStr">
        <is>
          <t>Créer le compte Google Ads (mode Expert, pas le mode simplifié) + facturation</t>
        </is>
      </c>
      <c r="D16" s="5" t="inlineStr">
        <is>
          <t>Le mode simplifié lance des campagnes automatiques coûteuses</t>
        </is>
      </c>
      <c r="E16" s="11" t="inlineStr">
        <is>
          <t>À faire</t>
        </is>
      </c>
    </row>
    <row r="17">
      <c r="A17" s="5" t="n">
        <v>14</v>
      </c>
      <c r="B17" s="5" t="inlineStr">
        <is>
          <t>Google</t>
        </is>
      </c>
      <c r="C17" s="5" t="inlineStr">
        <is>
          <t>Installer la balise Google (GA4) sur app.leadengineai.fr et lier GA4 ↔ Google Ads</t>
        </is>
      </c>
      <c r="D17" s="5" t="inlineStr">
        <is>
          <t>Mesure et audiences</t>
        </is>
      </c>
      <c r="E17" s="11" t="inlineStr">
        <is>
          <t>À faire</t>
        </is>
      </c>
    </row>
    <row r="18">
      <c r="A18" s="5" t="n">
        <v>15</v>
      </c>
      <c r="B18" s="5" t="inlineStr">
        <is>
          <t>Google</t>
        </is>
      </c>
      <c r="C18" s="5" t="inlineStr">
        <is>
          <t>Créer les conversions : essai démarré (principale), démo réservée (principale), passage payant (secondaire au début)</t>
        </is>
      </c>
      <c r="D18" s="5" t="inlineStr">
        <is>
          <t>Pour que Google optimise sur les essais</t>
        </is>
      </c>
      <c r="E18" s="11" t="inlineStr">
        <is>
          <t>À faire</t>
        </is>
      </c>
    </row>
    <row r="19">
      <c r="A19" s="5" t="n">
        <v>16</v>
      </c>
      <c r="B19" s="5" t="inlineStr">
        <is>
          <t>Google</t>
        </is>
      </c>
      <c r="C19" s="5" t="inlineStr">
        <is>
          <t>Activer les conversions améliorées (e-mail haché au moment de l'inscription)</t>
        </is>
      </c>
      <c r="D19" s="5" t="inlineStr">
        <is>
          <t>Meilleure attribution</t>
        </is>
      </c>
      <c r="E19" s="11" t="inlineStr">
        <is>
          <t>À faire</t>
        </is>
      </c>
    </row>
    <row r="20">
      <c r="A20" s="5" t="n">
        <v>17</v>
      </c>
      <c r="B20" s="5" t="inlineStr">
        <is>
          <t>Google</t>
        </is>
      </c>
      <c r="C20" s="5" t="inlineStr">
        <is>
          <t>Vérifier le Consent Mode v2 avec Tag Assistant</t>
        </is>
      </c>
      <c r="D20" s="5" t="inlineStr">
        <is>
          <t>Sans ça, perte de données en Europe</t>
        </is>
      </c>
      <c r="E20" s="11" t="inlineStr">
        <is>
          <t>À faire</t>
        </is>
      </c>
    </row>
    <row r="21">
      <c r="A21" s="5" t="n">
        <v>18</v>
      </c>
      <c r="B21" s="5" t="inlineStr">
        <is>
          <t>Suivi</t>
        </is>
      </c>
      <c r="C21" s="5" t="inlineStr">
        <is>
          <t>Utiliser les liens avec UTM de l'onglet « Meta - Annonces » pour chaque pub</t>
        </is>
      </c>
      <c r="D21" s="5" t="inlineStr">
        <is>
          <t>Savoir quelle pub amène des clients payants</t>
        </is>
      </c>
      <c r="E21" s="11" t="inlineStr">
        <is>
          <t>À faire</t>
        </is>
      </c>
    </row>
    <row r="22">
      <c r="A22" s="5" t="n">
        <v>19</v>
      </c>
      <c r="B22" s="5" t="inlineStr">
        <is>
          <t>Suivi</t>
        </is>
      </c>
      <c r="C22" s="5" t="inlineStr">
        <is>
          <t>Dans l'app : noter la source UTM de chaque inscrit (champ caché du formulaire)</t>
        </is>
      </c>
      <c r="D22" s="5" t="inlineStr">
        <is>
          <t>Relier dépense pub et clients payants</t>
        </is>
      </c>
      <c r="E22" s="11" t="inlineStr">
        <is>
          <t>À faire</t>
        </is>
      </c>
    </row>
    <row r="23">
      <c r="A23" s="5" t="n">
        <v>20</v>
      </c>
      <c r="B23" s="5" t="inlineStr">
        <is>
          <t>Conformité</t>
        </is>
      </c>
      <c r="C23" s="5" t="inlineStr">
        <is>
          <t>Pas de promesse chiffrée non prouvée (ex. « +30 % de mandats ») ; données d'exemple = fictives</t>
        </is>
      </c>
      <c r="D23" s="5" t="inlineStr">
        <is>
          <t>Règles Meta/Google sur les allégations + droit de la conso</t>
        </is>
      </c>
      <c r="E23" s="11" t="inlineStr">
        <is>
          <t>À faire</t>
        </is>
      </c>
    </row>
    <row r="24">
      <c r="A24" s="5" t="n">
        <v>21</v>
      </c>
      <c r="B24" s="5" t="inlineStr">
        <is>
          <t>Conformité</t>
        </is>
      </c>
      <c r="C24" s="5" t="inlineStr">
        <is>
          <t>Photos de clients (film signatures) : accord écrit des personnes, même floutées</t>
        </is>
      </c>
      <c r="D24" s="5" t="inlineStr">
        <is>
          <t>Droit à l'image</t>
        </is>
      </c>
      <c r="E24" s="11" t="inlineStr">
        <is>
          <t>À faire</t>
        </is>
      </c>
    </row>
    <row r="26">
      <c r="B26" s="6" t="inlineStr">
        <is>
          <t>Avancement</t>
        </is>
      </c>
      <c r="C26" s="12">
        <f>COUNTIF(E4:E24,"Fait")/COUNTA(E4:E24)</f>
        <v/>
      </c>
    </row>
  </sheetData>
  <conditionalFormatting sqref="E4:E24">
    <cfRule type="cellIs" priority="1" operator="equal" dxfId="0">
      <formula>"Fait"</formula>
    </cfRule>
  </conditionalFormatting>
  <dataValidations count="1">
    <dataValidation sqref="E4:E24" showDropDown="0" showInputMessage="0" showErrorMessage="0" allowBlank="0" type="list">
      <formula1>"À faire,En cours,Fait"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6" customWidth="1" min="1" max="1"/>
    <col width="16" customWidth="1" min="2" max="2"/>
    <col width="70" customWidth="1" min="3" max="3"/>
  </cols>
  <sheetData>
    <row r="1">
      <c r="A1" s="1" t="inlineStr">
        <is>
          <t>Hypothèses économiques</t>
        </is>
      </c>
    </row>
    <row r="3" ht="32" customHeight="1">
      <c r="A3" s="10" t="inlineStr">
        <is>
          <t>Paramètre</t>
        </is>
      </c>
      <c r="B3" s="10" t="inlineStr">
        <is>
          <t>Valeur</t>
        </is>
      </c>
      <c r="C3" s="10" t="inlineStr">
        <is>
          <t>Note</t>
        </is>
      </c>
    </row>
    <row r="4">
      <c r="A4" s="5" t="inlineStr">
        <is>
          <t>Prix de l'abonnement (€/mois)</t>
        </is>
      </c>
      <c r="B4" s="13" t="n">
        <v>49</v>
      </c>
      <c r="C4" s="5" t="inlineStr">
        <is>
          <t>Prix d'entrée LIMO (« dès 49 €/mois »). Source : Thomy.</t>
        </is>
      </c>
    </row>
    <row r="5">
      <c r="A5" s="5" t="inlineStr">
        <is>
          <t>Durée moyenne d'abonnement (mois)</t>
        </is>
      </c>
      <c r="B5" s="14" t="n">
        <v>12</v>
      </c>
      <c r="C5" s="5" t="inlineStr">
        <is>
          <t>HYPOTHÈSE — à remplacer par ta rétention réelle après 3-6 mois.</t>
        </is>
      </c>
    </row>
    <row r="6">
      <c r="A6" s="5" t="inlineStr">
        <is>
          <t>Taux essai → payant</t>
        </is>
      </c>
      <c r="B6" s="15" t="n">
        <v>0.25</v>
      </c>
      <c r="C6" s="5" t="inlineStr">
        <is>
          <t>HYPOTHÈSE — à remplacer par ton taux réel (onglet Pilotage).</t>
        </is>
      </c>
    </row>
    <row r="7">
      <c r="A7" s="5" t="inlineStr">
        <is>
          <t>Mois d'abonnement acceptés pour payer l'acquisition</t>
        </is>
      </c>
      <c r="B7" s="14" t="n">
        <v>3</v>
      </c>
      <c r="C7" s="5" t="inlineStr">
        <is>
          <t>Règle de prudence : on récupère sa dépense pub en 3 mois.</t>
        </is>
      </c>
    </row>
    <row r="8">
      <c r="A8" s="16" t="inlineStr">
        <is>
          <t>Résultats calculés</t>
        </is>
      </c>
    </row>
    <row r="9">
      <c r="A9" s="4" t="inlineStr">
        <is>
          <t>Valeur d'un client (€)</t>
        </is>
      </c>
      <c r="B9" s="17">
        <f>B4*B5</f>
        <v/>
      </c>
      <c r="C9" s="5" t="inlineStr">
        <is>
          <t>Prix × durée moyenne</t>
        </is>
      </c>
    </row>
    <row r="10">
      <c r="A10" s="4" t="inlineStr">
        <is>
          <t>Coût d'acquisition max par client payant (€)</t>
        </is>
      </c>
      <c r="B10" s="17">
        <f>B4*B7</f>
        <v/>
      </c>
      <c r="C10" s="5" t="inlineStr">
        <is>
          <t>Ce que tu peux payer pour 1 client</t>
        </is>
      </c>
    </row>
    <row r="11">
      <c r="A11" s="4" t="inlineStr">
        <is>
          <t>Coût max par essai démarré (€)</t>
        </is>
      </c>
      <c r="B11" s="17">
        <f>B10*B6</f>
        <v/>
      </c>
      <c r="C11" s="5" t="inlineStr">
        <is>
          <t>KPI n°1 : à surveiller chaque semaine</t>
        </is>
      </c>
    </row>
    <row r="12">
      <c r="A12" s="4" t="inlineStr">
        <is>
          <t>Seuil « à couper » d'une pub sans essai (€ dépensés)</t>
        </is>
      </c>
      <c r="B12" s="17">
        <f>B11*2</f>
        <v/>
      </c>
      <c r="C12" s="5" t="inlineStr">
        <is>
          <t>Une pub qui a dépensé ça sans aucun essai → on l'arrête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1" customWidth="1" min="3" max="3"/>
    <col width="12" customWidth="1" min="4" max="4"/>
    <col width="12" customWidth="1" min="5" max="5"/>
    <col width="10" customWidth="1" min="6" max="6"/>
    <col width="11" customWidth="1" min="7" max="7"/>
    <col width="11" customWidth="1" min="8" max="8"/>
    <col width="11" customWidth="1" min="9" max="9"/>
    <col width="9" customWidth="1" min="10" max="10"/>
    <col width="10" customWidth="1" min="11" max="11"/>
    <col width="8" customWidth="1" min="12" max="12"/>
    <col width="11" customWidth="1" min="13" max="13"/>
    <col width="11" customWidth="1" min="14" max="14"/>
    <col width="12" customWidth="1" min="15" max="15"/>
    <col width="12" customWidth="1" min="16" max="16"/>
    <col width="34" customWidth="1" min="17" max="17"/>
  </cols>
  <sheetData>
    <row r="1">
      <c r="A1" s="1" t="inlineStr">
        <is>
          <t>Pilotage hebdomadaire — remplis les colonnes jaunes chaque lundi</t>
        </is>
      </c>
    </row>
    <row r="3" ht="32" customHeight="1">
      <c r="A3" s="10" t="inlineStr">
        <is>
          <t>Semaine (lundi)</t>
        </is>
      </c>
      <c r="B3" s="10" t="inlineStr">
        <is>
          <t>Canal</t>
        </is>
      </c>
      <c r="C3" s="10" t="inlineStr">
        <is>
          <t>Dépense (€)</t>
        </is>
      </c>
      <c r="D3" s="10" t="inlineStr">
        <is>
          <t>Impressions</t>
        </is>
      </c>
      <c r="E3" s="10" t="inlineStr">
        <is>
          <t>Vues 3 s (Meta)</t>
        </is>
      </c>
      <c r="F3" s="10" t="inlineStr">
        <is>
          <t>Clics lien</t>
        </is>
      </c>
      <c r="G3" s="10" t="inlineStr">
        <is>
          <t>Essais démarrés</t>
        </is>
      </c>
      <c r="H3" s="10" t="inlineStr">
        <is>
          <t>Démos réservées</t>
        </is>
      </c>
      <c r="I3" s="10" t="inlineStr">
        <is>
          <t>Clients payants</t>
        </is>
      </c>
      <c r="J3" s="10" t="inlineStr">
        <is>
          <t>CPM (€)</t>
        </is>
      </c>
      <c r="K3" s="10" t="inlineStr">
        <is>
          <t>Taux de hook</t>
        </is>
      </c>
      <c r="L3" s="10" t="inlineStr">
        <is>
          <t>CTR</t>
        </is>
      </c>
      <c r="M3" s="10" t="inlineStr">
        <is>
          <t>Coût par clic (€)</t>
        </is>
      </c>
      <c r="N3" s="10" t="inlineStr">
        <is>
          <t>Taux clic → essai</t>
        </is>
      </c>
      <c r="O3" s="10" t="inlineStr">
        <is>
          <t>Coût par essai (€)</t>
        </is>
      </c>
      <c r="P3" s="10" t="inlineStr">
        <is>
          <t>Coût par client (€)</t>
        </is>
      </c>
      <c r="Q3" s="10" t="inlineStr">
        <is>
          <t>Verdict</t>
        </is>
      </c>
    </row>
    <row r="4">
      <c r="A4" s="18" t="n">
        <v>46300</v>
      </c>
      <c r="B4" s="19" t="inlineStr">
        <is>
          <t>Meta</t>
        </is>
      </c>
      <c r="C4" s="20" t="n">
        <v>175</v>
      </c>
      <c r="D4" s="21" t="n">
        <v>21000</v>
      </c>
      <c r="E4" s="21" t="n">
        <v>6300</v>
      </c>
      <c r="F4" s="21" t="n">
        <v>230</v>
      </c>
      <c r="G4" s="21" t="n">
        <v>6</v>
      </c>
      <c r="H4" s="21" t="n">
        <v>2</v>
      </c>
      <c r="I4" s="21" t="n">
        <v>1</v>
      </c>
      <c r="J4" s="22">
        <f>IF(D4&gt;0,C4/D4*1000,"")</f>
        <v/>
      </c>
      <c r="K4" s="23">
        <f>IF(AND(B4="Meta",D4&gt;0,E4&lt;&gt;""),E4/D4,"")</f>
        <v/>
      </c>
      <c r="L4" s="24">
        <f>IF(D4&gt;0,F4/D4,"")</f>
        <v/>
      </c>
      <c r="M4" s="22">
        <f>IF(F4&gt;0,C4/F4,"")</f>
        <v/>
      </c>
      <c r="N4" s="23">
        <f>IF(F4&gt;0,G4/F4,"")</f>
        <v/>
      </c>
      <c r="O4" s="22">
        <f>IF(G4&gt;0,C4/G4,"")</f>
        <v/>
      </c>
      <c r="P4" s="25">
        <f>IF(I4&gt;0,C4/I4,"")</f>
        <v/>
      </c>
      <c r="Q4" s="19">
        <f>IF(C4="","",IF(G4=0,IF(C4&gt;='Hypothèses'!$B$12,"🔴 Aucun essai : changer de visuel/angle","⏳ Trop tôt, laisser tourner"),IF(O4&lt;='Hypothèses'!$B$11*0.8,"🟢 Rentable : +20 % de budget",IF(O4&lt;='Hypothèses'!$B$11,"🟡 Correct : tester 2 nouveaux visuels","🔴 Trop cher : couper les pires pubs"))))</f>
        <v/>
      </c>
    </row>
    <row r="5">
      <c r="A5" s="18" t="n">
        <v>46300</v>
      </c>
      <c r="B5" s="19" t="inlineStr">
        <is>
          <t>Google</t>
        </is>
      </c>
      <c r="C5" s="20" t="n">
        <v>70</v>
      </c>
      <c r="D5" s="21" t="n">
        <v>1400</v>
      </c>
      <c r="E5" s="21" t="n"/>
      <c r="F5" s="21" t="n">
        <v>48</v>
      </c>
      <c r="G5" s="21" t="n">
        <v>3</v>
      </c>
      <c r="H5" s="21" t="n">
        <v>1</v>
      </c>
      <c r="I5" s="21" t="n">
        <v>0</v>
      </c>
      <c r="J5" s="22">
        <f>IF(D5&gt;0,C5/D5*1000,"")</f>
        <v/>
      </c>
      <c r="K5" s="23">
        <f>IF(AND(B5="Meta",D5&gt;0,E5&lt;&gt;""),E5/D5,"")</f>
        <v/>
      </c>
      <c r="L5" s="24">
        <f>IF(D5&gt;0,F5/D5,"")</f>
        <v/>
      </c>
      <c r="M5" s="22">
        <f>IF(F5&gt;0,C5/F5,"")</f>
        <v/>
      </c>
      <c r="N5" s="23">
        <f>IF(F5&gt;0,G5/F5,"")</f>
        <v/>
      </c>
      <c r="O5" s="22">
        <f>IF(G5&gt;0,C5/G5,"")</f>
        <v/>
      </c>
      <c r="P5" s="25">
        <f>IF(I5&gt;0,C5/I5,"")</f>
        <v/>
      </c>
      <c r="Q5" s="19">
        <f>IF(C5="","",IF(G5=0,IF(C5&gt;='Hypothèses'!$B$12,"🔴 Aucun essai : changer de visuel/angle","⏳ Trop tôt, laisser tourner"),IF(O5&lt;='Hypothèses'!$B$11*0.8,"🟢 Rentable : +20 % de budget",IF(O5&lt;='Hypothèses'!$B$11,"🟡 Correct : tester 2 nouveaux visuels","🔴 Trop cher : couper les pires pubs"))))</f>
        <v/>
      </c>
    </row>
    <row r="6">
      <c r="A6" s="18" t="n">
        <v>46307</v>
      </c>
      <c r="B6" s="19" t="inlineStr">
        <is>
          <t>Meta</t>
        </is>
      </c>
      <c r="C6" s="20" t="n"/>
      <c r="D6" s="21" t="n"/>
      <c r="E6" s="21" t="n"/>
      <c r="F6" s="21" t="n"/>
      <c r="G6" s="21" t="n"/>
      <c r="H6" s="21" t="n"/>
      <c r="I6" s="21" t="n"/>
      <c r="J6" s="22">
        <f>IF(D6&gt;0,C6/D6*1000,"")</f>
        <v/>
      </c>
      <c r="K6" s="23">
        <f>IF(AND(B6="Meta",D6&gt;0,E6&lt;&gt;""),E6/D6,"")</f>
        <v/>
      </c>
      <c r="L6" s="24">
        <f>IF(D6&gt;0,F6/D6,"")</f>
        <v/>
      </c>
      <c r="M6" s="22">
        <f>IF(F6&gt;0,C6/F6,"")</f>
        <v/>
      </c>
      <c r="N6" s="23">
        <f>IF(F6&gt;0,G6/F6,"")</f>
        <v/>
      </c>
      <c r="O6" s="22">
        <f>IF(G6&gt;0,C6/G6,"")</f>
        <v/>
      </c>
      <c r="P6" s="25">
        <f>IF(I6&gt;0,C6/I6,"")</f>
        <v/>
      </c>
      <c r="Q6" s="19">
        <f>IF(C6="","",IF(G6=0,IF(C6&gt;='Hypothèses'!$B$12,"🔴 Aucun essai : changer de visuel/angle","⏳ Trop tôt, laisser tourner"),IF(O6&lt;='Hypothèses'!$B$11*0.8,"🟢 Rentable : +20 % de budget",IF(O6&lt;='Hypothèses'!$B$11,"🟡 Correct : tester 2 nouveaux visuels","🔴 Trop cher : couper les pires pubs"))))</f>
        <v/>
      </c>
    </row>
    <row r="7">
      <c r="A7" s="18" t="n">
        <v>46307</v>
      </c>
      <c r="B7" s="19" t="inlineStr">
        <is>
          <t>Google</t>
        </is>
      </c>
      <c r="C7" s="20" t="n"/>
      <c r="D7" s="21" t="n"/>
      <c r="E7" s="21" t="n"/>
      <c r="F7" s="21" t="n"/>
      <c r="G7" s="21" t="n"/>
      <c r="H7" s="21" t="n"/>
      <c r="I7" s="21" t="n"/>
      <c r="J7" s="22">
        <f>IF(D7&gt;0,C7/D7*1000,"")</f>
        <v/>
      </c>
      <c r="K7" s="23">
        <f>IF(AND(B7="Meta",D7&gt;0,E7&lt;&gt;""),E7/D7,"")</f>
        <v/>
      </c>
      <c r="L7" s="24">
        <f>IF(D7&gt;0,F7/D7,"")</f>
        <v/>
      </c>
      <c r="M7" s="22">
        <f>IF(F7&gt;0,C7/F7,"")</f>
        <v/>
      </c>
      <c r="N7" s="23">
        <f>IF(F7&gt;0,G7/F7,"")</f>
        <v/>
      </c>
      <c r="O7" s="22">
        <f>IF(G7&gt;0,C7/G7,"")</f>
        <v/>
      </c>
      <c r="P7" s="25">
        <f>IF(I7&gt;0,C7/I7,"")</f>
        <v/>
      </c>
      <c r="Q7" s="19">
        <f>IF(C7="","",IF(G7=0,IF(C7&gt;='Hypothèses'!$B$12,"🔴 Aucun essai : changer de visuel/angle","⏳ Trop tôt, laisser tourner"),IF(O7&lt;='Hypothèses'!$B$11*0.8,"🟢 Rentable : +20 % de budget",IF(O7&lt;='Hypothèses'!$B$11,"🟡 Correct : tester 2 nouveaux visuels","🔴 Trop cher : couper les pires pubs"))))</f>
        <v/>
      </c>
    </row>
    <row r="8">
      <c r="A8" s="18" t="n">
        <v>46314</v>
      </c>
      <c r="B8" s="19" t="inlineStr">
        <is>
          <t>Meta</t>
        </is>
      </c>
      <c r="C8" s="20" t="n"/>
      <c r="D8" s="21" t="n"/>
      <c r="E8" s="21" t="n"/>
      <c r="F8" s="21" t="n"/>
      <c r="G8" s="21" t="n"/>
      <c r="H8" s="21" t="n"/>
      <c r="I8" s="21" t="n"/>
      <c r="J8" s="22">
        <f>IF(D8&gt;0,C8/D8*1000,"")</f>
        <v/>
      </c>
      <c r="K8" s="23">
        <f>IF(AND(B8="Meta",D8&gt;0,E8&lt;&gt;""),E8/D8,"")</f>
        <v/>
      </c>
      <c r="L8" s="24">
        <f>IF(D8&gt;0,F8/D8,"")</f>
        <v/>
      </c>
      <c r="M8" s="22">
        <f>IF(F8&gt;0,C8/F8,"")</f>
        <v/>
      </c>
      <c r="N8" s="23">
        <f>IF(F8&gt;0,G8/F8,"")</f>
        <v/>
      </c>
      <c r="O8" s="22">
        <f>IF(G8&gt;0,C8/G8,"")</f>
        <v/>
      </c>
      <c r="P8" s="25">
        <f>IF(I8&gt;0,C8/I8,"")</f>
        <v/>
      </c>
      <c r="Q8" s="19">
        <f>IF(C8="","",IF(G8=0,IF(C8&gt;='Hypothèses'!$B$12,"🔴 Aucun essai : changer de visuel/angle","⏳ Trop tôt, laisser tourner"),IF(O8&lt;='Hypothèses'!$B$11*0.8,"🟢 Rentable : +20 % de budget",IF(O8&lt;='Hypothèses'!$B$11,"🟡 Correct : tester 2 nouveaux visuels","🔴 Trop cher : couper les pires pubs"))))</f>
        <v/>
      </c>
    </row>
    <row r="9">
      <c r="A9" s="18" t="n">
        <v>46314</v>
      </c>
      <c r="B9" s="19" t="inlineStr">
        <is>
          <t>Google</t>
        </is>
      </c>
      <c r="C9" s="20" t="n"/>
      <c r="D9" s="21" t="n"/>
      <c r="E9" s="21" t="n"/>
      <c r="F9" s="21" t="n"/>
      <c r="G9" s="21" t="n"/>
      <c r="H9" s="21" t="n"/>
      <c r="I9" s="21" t="n"/>
      <c r="J9" s="22">
        <f>IF(D9&gt;0,C9/D9*1000,"")</f>
        <v/>
      </c>
      <c r="K9" s="23">
        <f>IF(AND(B9="Meta",D9&gt;0,E9&lt;&gt;""),E9/D9,"")</f>
        <v/>
      </c>
      <c r="L9" s="24">
        <f>IF(D9&gt;0,F9/D9,"")</f>
        <v/>
      </c>
      <c r="M9" s="22">
        <f>IF(F9&gt;0,C9/F9,"")</f>
        <v/>
      </c>
      <c r="N9" s="23">
        <f>IF(F9&gt;0,G9/F9,"")</f>
        <v/>
      </c>
      <c r="O9" s="22">
        <f>IF(G9&gt;0,C9/G9,"")</f>
        <v/>
      </c>
      <c r="P9" s="25">
        <f>IF(I9&gt;0,C9/I9,"")</f>
        <v/>
      </c>
      <c r="Q9" s="19">
        <f>IF(C9="","",IF(G9=0,IF(C9&gt;='Hypothèses'!$B$12,"🔴 Aucun essai : changer de visuel/angle","⏳ Trop tôt, laisser tourner"),IF(O9&lt;='Hypothèses'!$B$11*0.8,"🟢 Rentable : +20 % de budget",IF(O9&lt;='Hypothèses'!$B$11,"🟡 Correct : tester 2 nouveaux visuels","🔴 Trop cher : couper les pires pubs"))))</f>
        <v/>
      </c>
    </row>
    <row r="10">
      <c r="A10" s="18" t="n">
        <v>46321</v>
      </c>
      <c r="B10" s="19" t="inlineStr">
        <is>
          <t>Meta</t>
        </is>
      </c>
      <c r="C10" s="20" t="n"/>
      <c r="D10" s="21" t="n"/>
      <c r="E10" s="21" t="n"/>
      <c r="F10" s="21" t="n"/>
      <c r="G10" s="21" t="n"/>
      <c r="H10" s="21" t="n"/>
      <c r="I10" s="21" t="n"/>
      <c r="J10" s="22">
        <f>IF(D10&gt;0,C10/D10*1000,"")</f>
        <v/>
      </c>
      <c r="K10" s="23">
        <f>IF(AND(B10="Meta",D10&gt;0,E10&lt;&gt;""),E10/D10,"")</f>
        <v/>
      </c>
      <c r="L10" s="24">
        <f>IF(D10&gt;0,F10/D10,"")</f>
        <v/>
      </c>
      <c r="M10" s="22">
        <f>IF(F10&gt;0,C10/F10,"")</f>
        <v/>
      </c>
      <c r="N10" s="23">
        <f>IF(F10&gt;0,G10/F10,"")</f>
        <v/>
      </c>
      <c r="O10" s="22">
        <f>IF(G10&gt;0,C10/G10,"")</f>
        <v/>
      </c>
      <c r="P10" s="25">
        <f>IF(I10&gt;0,C10/I10,"")</f>
        <v/>
      </c>
      <c r="Q10" s="19">
        <f>IF(C10="","",IF(G10=0,IF(C10&gt;='Hypothèses'!$B$12,"🔴 Aucun essai : changer de visuel/angle","⏳ Trop tôt, laisser tourner"),IF(O10&lt;='Hypothèses'!$B$11*0.8,"🟢 Rentable : +20 % de budget",IF(O10&lt;='Hypothèses'!$B$11,"🟡 Correct : tester 2 nouveaux visuels","🔴 Trop cher : couper les pires pubs"))))</f>
        <v/>
      </c>
    </row>
    <row r="11">
      <c r="A11" s="18" t="n">
        <v>46321</v>
      </c>
      <c r="B11" s="19" t="inlineStr">
        <is>
          <t>Google</t>
        </is>
      </c>
      <c r="C11" s="20" t="n"/>
      <c r="D11" s="21" t="n"/>
      <c r="E11" s="21" t="n"/>
      <c r="F11" s="21" t="n"/>
      <c r="G11" s="21" t="n"/>
      <c r="H11" s="21" t="n"/>
      <c r="I11" s="21" t="n"/>
      <c r="J11" s="22">
        <f>IF(D11&gt;0,C11/D11*1000,"")</f>
        <v/>
      </c>
      <c r="K11" s="23">
        <f>IF(AND(B11="Meta",D11&gt;0,E11&lt;&gt;""),E11/D11,"")</f>
        <v/>
      </c>
      <c r="L11" s="24">
        <f>IF(D11&gt;0,F11/D11,"")</f>
        <v/>
      </c>
      <c r="M11" s="22">
        <f>IF(F11&gt;0,C11/F11,"")</f>
        <v/>
      </c>
      <c r="N11" s="23">
        <f>IF(F11&gt;0,G11/F11,"")</f>
        <v/>
      </c>
      <c r="O11" s="22">
        <f>IF(G11&gt;0,C11/G11,"")</f>
        <v/>
      </c>
      <c r="P11" s="25">
        <f>IF(I11&gt;0,C11/I11,"")</f>
        <v/>
      </c>
      <c r="Q11" s="19">
        <f>IF(C11="","",IF(G11=0,IF(C11&gt;='Hypothèses'!$B$12,"🔴 Aucun essai : changer de visuel/angle","⏳ Trop tôt, laisser tourner"),IF(O11&lt;='Hypothèses'!$B$11*0.8,"🟢 Rentable : +20 % de budget",IF(O11&lt;='Hypothèses'!$B$11,"🟡 Correct : tester 2 nouveaux visuels","🔴 Trop cher : couper les pires pubs"))))</f>
        <v/>
      </c>
    </row>
    <row r="12">
      <c r="A12" s="18" t="n">
        <v>46328</v>
      </c>
      <c r="B12" s="19" t="inlineStr">
        <is>
          <t>Meta</t>
        </is>
      </c>
      <c r="C12" s="20" t="n"/>
      <c r="D12" s="21" t="n"/>
      <c r="E12" s="21" t="n"/>
      <c r="F12" s="21" t="n"/>
      <c r="G12" s="21" t="n"/>
      <c r="H12" s="21" t="n"/>
      <c r="I12" s="21" t="n"/>
      <c r="J12" s="22">
        <f>IF(D12&gt;0,C12/D12*1000,"")</f>
        <v/>
      </c>
      <c r="K12" s="23">
        <f>IF(AND(B12="Meta",D12&gt;0,E12&lt;&gt;""),E12/D12,"")</f>
        <v/>
      </c>
      <c r="L12" s="24">
        <f>IF(D12&gt;0,F12/D12,"")</f>
        <v/>
      </c>
      <c r="M12" s="22">
        <f>IF(F12&gt;0,C12/F12,"")</f>
        <v/>
      </c>
      <c r="N12" s="23">
        <f>IF(F12&gt;0,G12/F12,"")</f>
        <v/>
      </c>
      <c r="O12" s="22">
        <f>IF(G12&gt;0,C12/G12,"")</f>
        <v/>
      </c>
      <c r="P12" s="25">
        <f>IF(I12&gt;0,C12/I12,"")</f>
        <v/>
      </c>
      <c r="Q12" s="19">
        <f>IF(C12="","",IF(G12=0,IF(C12&gt;='Hypothèses'!$B$12,"🔴 Aucun essai : changer de visuel/angle","⏳ Trop tôt, laisser tourner"),IF(O12&lt;='Hypothèses'!$B$11*0.8,"🟢 Rentable : +20 % de budget",IF(O12&lt;='Hypothèses'!$B$11,"🟡 Correct : tester 2 nouveaux visuels","🔴 Trop cher : couper les pires pubs"))))</f>
        <v/>
      </c>
    </row>
    <row r="13">
      <c r="A13" s="18" t="n">
        <v>46328</v>
      </c>
      <c r="B13" s="19" t="inlineStr">
        <is>
          <t>Google</t>
        </is>
      </c>
      <c r="C13" s="20" t="n"/>
      <c r="D13" s="21" t="n"/>
      <c r="E13" s="21" t="n"/>
      <c r="F13" s="21" t="n"/>
      <c r="G13" s="21" t="n"/>
      <c r="H13" s="21" t="n"/>
      <c r="I13" s="21" t="n"/>
      <c r="J13" s="22">
        <f>IF(D13&gt;0,C13/D13*1000,"")</f>
        <v/>
      </c>
      <c r="K13" s="23">
        <f>IF(AND(B13="Meta",D13&gt;0,E13&lt;&gt;""),E13/D13,"")</f>
        <v/>
      </c>
      <c r="L13" s="24">
        <f>IF(D13&gt;0,F13/D13,"")</f>
        <v/>
      </c>
      <c r="M13" s="22">
        <f>IF(F13&gt;0,C13/F13,"")</f>
        <v/>
      </c>
      <c r="N13" s="23">
        <f>IF(F13&gt;0,G13/F13,"")</f>
        <v/>
      </c>
      <c r="O13" s="22">
        <f>IF(G13&gt;0,C13/G13,"")</f>
        <v/>
      </c>
      <c r="P13" s="25">
        <f>IF(I13&gt;0,C13/I13,"")</f>
        <v/>
      </c>
      <c r="Q13" s="19">
        <f>IF(C13="","",IF(G13=0,IF(C13&gt;='Hypothèses'!$B$12,"🔴 Aucun essai : changer de visuel/angle","⏳ Trop tôt, laisser tourner"),IF(O13&lt;='Hypothèses'!$B$11*0.8,"🟢 Rentable : +20 % de budget",IF(O13&lt;='Hypothèses'!$B$11,"🟡 Correct : tester 2 nouveaux visuels","🔴 Trop cher : couper les pires pubs"))))</f>
        <v/>
      </c>
    </row>
    <row r="14">
      <c r="A14" s="18" t="n">
        <v>46335</v>
      </c>
      <c r="B14" s="19" t="inlineStr">
        <is>
          <t>Meta</t>
        </is>
      </c>
      <c r="C14" s="20" t="n"/>
      <c r="D14" s="21" t="n"/>
      <c r="E14" s="21" t="n"/>
      <c r="F14" s="21" t="n"/>
      <c r="G14" s="21" t="n"/>
      <c r="H14" s="21" t="n"/>
      <c r="I14" s="21" t="n"/>
      <c r="J14" s="22">
        <f>IF(D14&gt;0,C14/D14*1000,"")</f>
        <v/>
      </c>
      <c r="K14" s="23">
        <f>IF(AND(B14="Meta",D14&gt;0,E14&lt;&gt;""),E14/D14,"")</f>
        <v/>
      </c>
      <c r="L14" s="24">
        <f>IF(D14&gt;0,F14/D14,"")</f>
        <v/>
      </c>
      <c r="M14" s="22">
        <f>IF(F14&gt;0,C14/F14,"")</f>
        <v/>
      </c>
      <c r="N14" s="23">
        <f>IF(F14&gt;0,G14/F14,"")</f>
        <v/>
      </c>
      <c r="O14" s="22">
        <f>IF(G14&gt;0,C14/G14,"")</f>
        <v/>
      </c>
      <c r="P14" s="25">
        <f>IF(I14&gt;0,C14/I14,"")</f>
        <v/>
      </c>
      <c r="Q14" s="19">
        <f>IF(C14="","",IF(G14=0,IF(C14&gt;='Hypothèses'!$B$12,"🔴 Aucun essai : changer de visuel/angle","⏳ Trop tôt, laisser tourner"),IF(O14&lt;='Hypothèses'!$B$11*0.8,"🟢 Rentable : +20 % de budget",IF(O14&lt;='Hypothèses'!$B$11,"🟡 Correct : tester 2 nouveaux visuels","🔴 Trop cher : couper les pires pubs"))))</f>
        <v/>
      </c>
    </row>
    <row r="15">
      <c r="A15" s="18" t="n">
        <v>46335</v>
      </c>
      <c r="B15" s="19" t="inlineStr">
        <is>
          <t>Google</t>
        </is>
      </c>
      <c r="C15" s="20" t="n"/>
      <c r="D15" s="21" t="n"/>
      <c r="E15" s="21" t="n"/>
      <c r="F15" s="21" t="n"/>
      <c r="G15" s="21" t="n"/>
      <c r="H15" s="21" t="n"/>
      <c r="I15" s="21" t="n"/>
      <c r="J15" s="22">
        <f>IF(D15&gt;0,C15/D15*1000,"")</f>
        <v/>
      </c>
      <c r="K15" s="23">
        <f>IF(AND(B15="Meta",D15&gt;0,E15&lt;&gt;""),E15/D15,"")</f>
        <v/>
      </c>
      <c r="L15" s="24">
        <f>IF(D15&gt;0,F15/D15,"")</f>
        <v/>
      </c>
      <c r="M15" s="22">
        <f>IF(F15&gt;0,C15/F15,"")</f>
        <v/>
      </c>
      <c r="N15" s="23">
        <f>IF(F15&gt;0,G15/F15,"")</f>
        <v/>
      </c>
      <c r="O15" s="22">
        <f>IF(G15&gt;0,C15/G15,"")</f>
        <v/>
      </c>
      <c r="P15" s="25">
        <f>IF(I15&gt;0,C15/I15,"")</f>
        <v/>
      </c>
      <c r="Q15" s="19">
        <f>IF(C15="","",IF(G15=0,IF(C15&gt;='Hypothèses'!$B$12,"🔴 Aucun essai : changer de visuel/angle","⏳ Trop tôt, laisser tourner"),IF(O15&lt;='Hypothèses'!$B$11*0.8,"🟢 Rentable : +20 % de budget",IF(O15&lt;='Hypothèses'!$B$11,"🟡 Correct : tester 2 nouveaux visuels","🔴 Trop cher : couper les pires pubs"))))</f>
        <v/>
      </c>
    </row>
    <row r="16">
      <c r="A16" s="18" t="n">
        <v>46342</v>
      </c>
      <c r="B16" s="19" t="inlineStr">
        <is>
          <t>Meta</t>
        </is>
      </c>
      <c r="C16" s="20" t="n"/>
      <c r="D16" s="21" t="n"/>
      <c r="E16" s="21" t="n"/>
      <c r="F16" s="21" t="n"/>
      <c r="G16" s="21" t="n"/>
      <c r="H16" s="21" t="n"/>
      <c r="I16" s="21" t="n"/>
      <c r="J16" s="22">
        <f>IF(D16&gt;0,C16/D16*1000,"")</f>
        <v/>
      </c>
      <c r="K16" s="23">
        <f>IF(AND(B16="Meta",D16&gt;0,E16&lt;&gt;""),E16/D16,"")</f>
        <v/>
      </c>
      <c r="L16" s="24">
        <f>IF(D16&gt;0,F16/D16,"")</f>
        <v/>
      </c>
      <c r="M16" s="22">
        <f>IF(F16&gt;0,C16/F16,"")</f>
        <v/>
      </c>
      <c r="N16" s="23">
        <f>IF(F16&gt;0,G16/F16,"")</f>
        <v/>
      </c>
      <c r="O16" s="22">
        <f>IF(G16&gt;0,C16/G16,"")</f>
        <v/>
      </c>
      <c r="P16" s="25">
        <f>IF(I16&gt;0,C16/I16,"")</f>
        <v/>
      </c>
      <c r="Q16" s="19">
        <f>IF(C16="","",IF(G16=0,IF(C16&gt;='Hypothèses'!$B$12,"🔴 Aucun essai : changer de visuel/angle","⏳ Trop tôt, laisser tourner"),IF(O16&lt;='Hypothèses'!$B$11*0.8,"🟢 Rentable : +20 % de budget",IF(O16&lt;='Hypothèses'!$B$11,"🟡 Correct : tester 2 nouveaux visuels","🔴 Trop cher : couper les pires pubs"))))</f>
        <v/>
      </c>
    </row>
    <row r="17">
      <c r="A17" s="18" t="n">
        <v>46342</v>
      </c>
      <c r="B17" s="19" t="inlineStr">
        <is>
          <t>Google</t>
        </is>
      </c>
      <c r="C17" s="20" t="n"/>
      <c r="D17" s="21" t="n"/>
      <c r="E17" s="21" t="n"/>
      <c r="F17" s="21" t="n"/>
      <c r="G17" s="21" t="n"/>
      <c r="H17" s="21" t="n"/>
      <c r="I17" s="21" t="n"/>
      <c r="J17" s="22">
        <f>IF(D17&gt;0,C17/D17*1000,"")</f>
        <v/>
      </c>
      <c r="K17" s="23">
        <f>IF(AND(B17="Meta",D17&gt;0,E17&lt;&gt;""),E17/D17,"")</f>
        <v/>
      </c>
      <c r="L17" s="24">
        <f>IF(D17&gt;0,F17/D17,"")</f>
        <v/>
      </c>
      <c r="M17" s="22">
        <f>IF(F17&gt;0,C17/F17,"")</f>
        <v/>
      </c>
      <c r="N17" s="23">
        <f>IF(F17&gt;0,G17/F17,"")</f>
        <v/>
      </c>
      <c r="O17" s="22">
        <f>IF(G17&gt;0,C17/G17,"")</f>
        <v/>
      </c>
      <c r="P17" s="25">
        <f>IF(I17&gt;0,C17/I17,"")</f>
        <v/>
      </c>
      <c r="Q17" s="19">
        <f>IF(C17="","",IF(G17=0,IF(C17&gt;='Hypothèses'!$B$12,"🔴 Aucun essai : changer de visuel/angle","⏳ Trop tôt, laisser tourner"),IF(O17&lt;='Hypothèses'!$B$11*0.8,"🟢 Rentable : +20 % de budget",IF(O17&lt;='Hypothèses'!$B$11,"🟡 Correct : tester 2 nouveaux visuels","🔴 Trop cher : couper les pires pubs"))))</f>
        <v/>
      </c>
    </row>
    <row r="18">
      <c r="A18" s="18" t="n">
        <v>46349</v>
      </c>
      <c r="B18" s="19" t="inlineStr">
        <is>
          <t>Meta</t>
        </is>
      </c>
      <c r="C18" s="20" t="n"/>
      <c r="D18" s="21" t="n"/>
      <c r="E18" s="21" t="n"/>
      <c r="F18" s="21" t="n"/>
      <c r="G18" s="21" t="n"/>
      <c r="H18" s="21" t="n"/>
      <c r="I18" s="21" t="n"/>
      <c r="J18" s="22">
        <f>IF(D18&gt;0,C18/D18*1000,"")</f>
        <v/>
      </c>
      <c r="K18" s="23">
        <f>IF(AND(B18="Meta",D18&gt;0,E18&lt;&gt;""),E18/D18,"")</f>
        <v/>
      </c>
      <c r="L18" s="24">
        <f>IF(D18&gt;0,F18/D18,"")</f>
        <v/>
      </c>
      <c r="M18" s="22">
        <f>IF(F18&gt;0,C18/F18,"")</f>
        <v/>
      </c>
      <c r="N18" s="23">
        <f>IF(F18&gt;0,G18/F18,"")</f>
        <v/>
      </c>
      <c r="O18" s="22">
        <f>IF(G18&gt;0,C18/G18,"")</f>
        <v/>
      </c>
      <c r="P18" s="25">
        <f>IF(I18&gt;0,C18/I18,"")</f>
        <v/>
      </c>
      <c r="Q18" s="19">
        <f>IF(C18="","",IF(G18=0,IF(C18&gt;='Hypothèses'!$B$12,"🔴 Aucun essai : changer de visuel/angle","⏳ Trop tôt, laisser tourner"),IF(O18&lt;='Hypothèses'!$B$11*0.8,"🟢 Rentable : +20 % de budget",IF(O18&lt;='Hypothèses'!$B$11,"🟡 Correct : tester 2 nouveaux visuels","🔴 Trop cher : couper les pires pubs"))))</f>
        <v/>
      </c>
    </row>
    <row r="19">
      <c r="A19" s="18" t="n">
        <v>46349</v>
      </c>
      <c r="B19" s="19" t="inlineStr">
        <is>
          <t>Google</t>
        </is>
      </c>
      <c r="C19" s="20" t="n"/>
      <c r="D19" s="21" t="n"/>
      <c r="E19" s="21" t="n"/>
      <c r="F19" s="21" t="n"/>
      <c r="G19" s="21" t="n"/>
      <c r="H19" s="21" t="n"/>
      <c r="I19" s="21" t="n"/>
      <c r="J19" s="22">
        <f>IF(D19&gt;0,C19/D19*1000,"")</f>
        <v/>
      </c>
      <c r="K19" s="23">
        <f>IF(AND(B19="Meta",D19&gt;0,E19&lt;&gt;""),E19/D19,"")</f>
        <v/>
      </c>
      <c r="L19" s="24">
        <f>IF(D19&gt;0,F19/D19,"")</f>
        <v/>
      </c>
      <c r="M19" s="22">
        <f>IF(F19&gt;0,C19/F19,"")</f>
        <v/>
      </c>
      <c r="N19" s="23">
        <f>IF(F19&gt;0,G19/F19,"")</f>
        <v/>
      </c>
      <c r="O19" s="22">
        <f>IF(G19&gt;0,C19/G19,"")</f>
        <v/>
      </c>
      <c r="P19" s="25">
        <f>IF(I19&gt;0,C19/I19,"")</f>
        <v/>
      </c>
      <c r="Q19" s="19">
        <f>IF(C19="","",IF(G19=0,IF(C19&gt;='Hypothèses'!$B$12,"🔴 Aucun essai : changer de visuel/angle","⏳ Trop tôt, laisser tourner"),IF(O19&lt;='Hypothèses'!$B$11*0.8,"🟢 Rentable : +20 % de budget",IF(O19&lt;='Hypothèses'!$B$11,"🟡 Correct : tester 2 nouveaux visuels","🔴 Trop cher : couper les pires pubs"))))</f>
        <v/>
      </c>
    </row>
    <row r="20">
      <c r="A20" s="18" t="n">
        <v>46356</v>
      </c>
      <c r="B20" s="19" t="inlineStr">
        <is>
          <t>Meta</t>
        </is>
      </c>
      <c r="C20" s="20" t="n"/>
      <c r="D20" s="21" t="n"/>
      <c r="E20" s="21" t="n"/>
      <c r="F20" s="21" t="n"/>
      <c r="G20" s="21" t="n"/>
      <c r="H20" s="21" t="n"/>
      <c r="I20" s="21" t="n"/>
      <c r="J20" s="22">
        <f>IF(D20&gt;0,C20/D20*1000,"")</f>
        <v/>
      </c>
      <c r="K20" s="23">
        <f>IF(AND(B20="Meta",D20&gt;0,E20&lt;&gt;""),E20/D20,"")</f>
        <v/>
      </c>
      <c r="L20" s="24">
        <f>IF(D20&gt;0,F20/D20,"")</f>
        <v/>
      </c>
      <c r="M20" s="22">
        <f>IF(F20&gt;0,C20/F20,"")</f>
        <v/>
      </c>
      <c r="N20" s="23">
        <f>IF(F20&gt;0,G20/F20,"")</f>
        <v/>
      </c>
      <c r="O20" s="22">
        <f>IF(G20&gt;0,C20/G20,"")</f>
        <v/>
      </c>
      <c r="P20" s="25">
        <f>IF(I20&gt;0,C20/I20,"")</f>
        <v/>
      </c>
      <c r="Q20" s="19">
        <f>IF(C20="","",IF(G20=0,IF(C20&gt;='Hypothèses'!$B$12,"🔴 Aucun essai : changer de visuel/angle","⏳ Trop tôt, laisser tourner"),IF(O20&lt;='Hypothèses'!$B$11*0.8,"🟢 Rentable : +20 % de budget",IF(O20&lt;='Hypothèses'!$B$11,"🟡 Correct : tester 2 nouveaux visuels","🔴 Trop cher : couper les pires pubs"))))</f>
        <v/>
      </c>
    </row>
    <row r="21">
      <c r="A21" s="18" t="n">
        <v>46356</v>
      </c>
      <c r="B21" s="19" t="inlineStr">
        <is>
          <t>Google</t>
        </is>
      </c>
      <c r="C21" s="20" t="n"/>
      <c r="D21" s="21" t="n"/>
      <c r="E21" s="21" t="n"/>
      <c r="F21" s="21" t="n"/>
      <c r="G21" s="21" t="n"/>
      <c r="H21" s="21" t="n"/>
      <c r="I21" s="21" t="n"/>
      <c r="J21" s="22">
        <f>IF(D21&gt;0,C21/D21*1000,"")</f>
        <v/>
      </c>
      <c r="K21" s="23">
        <f>IF(AND(B21="Meta",D21&gt;0,E21&lt;&gt;""),E21/D21,"")</f>
        <v/>
      </c>
      <c r="L21" s="24">
        <f>IF(D21&gt;0,F21/D21,"")</f>
        <v/>
      </c>
      <c r="M21" s="22">
        <f>IF(F21&gt;0,C21/F21,"")</f>
        <v/>
      </c>
      <c r="N21" s="23">
        <f>IF(F21&gt;0,G21/F21,"")</f>
        <v/>
      </c>
      <c r="O21" s="22">
        <f>IF(G21&gt;0,C21/G21,"")</f>
        <v/>
      </c>
      <c r="P21" s="25">
        <f>IF(I21&gt;0,C21/I21,"")</f>
        <v/>
      </c>
      <c r="Q21" s="19">
        <f>IF(C21="","",IF(G21=0,IF(C21&gt;='Hypothèses'!$B$12,"🔴 Aucun essai : changer de visuel/angle","⏳ Trop tôt, laisser tourner"),IF(O21&lt;='Hypothèses'!$B$11*0.8,"🟢 Rentable : +20 % de budget",IF(O21&lt;='Hypothèses'!$B$11,"🟡 Correct : tester 2 nouveaux visuels","🔴 Trop cher : couper les pires pubs"))))</f>
        <v/>
      </c>
    </row>
    <row r="22">
      <c r="A22" s="18" t="n">
        <v>46363</v>
      </c>
      <c r="B22" s="19" t="inlineStr">
        <is>
          <t>Meta</t>
        </is>
      </c>
      <c r="C22" s="20" t="n"/>
      <c r="D22" s="21" t="n"/>
      <c r="E22" s="21" t="n"/>
      <c r="F22" s="21" t="n"/>
      <c r="G22" s="21" t="n"/>
      <c r="H22" s="21" t="n"/>
      <c r="I22" s="21" t="n"/>
      <c r="J22" s="22">
        <f>IF(D22&gt;0,C22/D22*1000,"")</f>
        <v/>
      </c>
      <c r="K22" s="23">
        <f>IF(AND(B22="Meta",D22&gt;0,E22&lt;&gt;""),E22/D22,"")</f>
        <v/>
      </c>
      <c r="L22" s="24">
        <f>IF(D22&gt;0,F22/D22,"")</f>
        <v/>
      </c>
      <c r="M22" s="22">
        <f>IF(F22&gt;0,C22/F22,"")</f>
        <v/>
      </c>
      <c r="N22" s="23">
        <f>IF(F22&gt;0,G22/F22,"")</f>
        <v/>
      </c>
      <c r="O22" s="22">
        <f>IF(G22&gt;0,C22/G22,"")</f>
        <v/>
      </c>
      <c r="P22" s="25">
        <f>IF(I22&gt;0,C22/I22,"")</f>
        <v/>
      </c>
      <c r="Q22" s="19">
        <f>IF(C22="","",IF(G22=0,IF(C22&gt;='Hypothèses'!$B$12,"🔴 Aucun essai : changer de visuel/angle","⏳ Trop tôt, laisser tourner"),IF(O22&lt;='Hypothèses'!$B$11*0.8,"🟢 Rentable : +20 % de budget",IF(O22&lt;='Hypothèses'!$B$11,"🟡 Correct : tester 2 nouveaux visuels","🔴 Trop cher : couper les pires pubs"))))</f>
        <v/>
      </c>
    </row>
    <row r="23">
      <c r="A23" s="18" t="n">
        <v>46363</v>
      </c>
      <c r="B23" s="19" t="inlineStr">
        <is>
          <t>Google</t>
        </is>
      </c>
      <c r="C23" s="20" t="n"/>
      <c r="D23" s="21" t="n"/>
      <c r="E23" s="21" t="n"/>
      <c r="F23" s="21" t="n"/>
      <c r="G23" s="21" t="n"/>
      <c r="H23" s="21" t="n"/>
      <c r="I23" s="21" t="n"/>
      <c r="J23" s="22">
        <f>IF(D23&gt;0,C23/D23*1000,"")</f>
        <v/>
      </c>
      <c r="K23" s="23">
        <f>IF(AND(B23="Meta",D23&gt;0,E23&lt;&gt;""),E23/D23,"")</f>
        <v/>
      </c>
      <c r="L23" s="24">
        <f>IF(D23&gt;0,F23/D23,"")</f>
        <v/>
      </c>
      <c r="M23" s="22">
        <f>IF(F23&gt;0,C23/F23,"")</f>
        <v/>
      </c>
      <c r="N23" s="23">
        <f>IF(F23&gt;0,G23/F23,"")</f>
        <v/>
      </c>
      <c r="O23" s="22">
        <f>IF(G23&gt;0,C23/G23,"")</f>
        <v/>
      </c>
      <c r="P23" s="25">
        <f>IF(I23&gt;0,C23/I23,"")</f>
        <v/>
      </c>
      <c r="Q23" s="19">
        <f>IF(C23="","",IF(G23=0,IF(C23&gt;='Hypothèses'!$B$12,"🔴 Aucun essai : changer de visuel/angle","⏳ Trop tôt, laisser tourner"),IF(O23&lt;='Hypothèses'!$B$11*0.8,"🟢 Rentable : +20 % de budget",IF(O23&lt;='Hypothèses'!$B$11,"🟡 Correct : tester 2 nouveaux visuels","🔴 Trop cher : couper les pires pubs"))))</f>
        <v/>
      </c>
    </row>
    <row r="24">
      <c r="A24" s="18" t="n">
        <v>46370</v>
      </c>
      <c r="B24" s="19" t="inlineStr">
        <is>
          <t>Meta</t>
        </is>
      </c>
      <c r="C24" s="20" t="n"/>
      <c r="D24" s="21" t="n"/>
      <c r="E24" s="21" t="n"/>
      <c r="F24" s="21" t="n"/>
      <c r="G24" s="21" t="n"/>
      <c r="H24" s="21" t="n"/>
      <c r="I24" s="21" t="n"/>
      <c r="J24" s="22">
        <f>IF(D24&gt;0,C24/D24*1000,"")</f>
        <v/>
      </c>
      <c r="K24" s="23">
        <f>IF(AND(B24="Meta",D24&gt;0,E24&lt;&gt;""),E24/D24,"")</f>
        <v/>
      </c>
      <c r="L24" s="24">
        <f>IF(D24&gt;0,F24/D24,"")</f>
        <v/>
      </c>
      <c r="M24" s="22">
        <f>IF(F24&gt;0,C24/F24,"")</f>
        <v/>
      </c>
      <c r="N24" s="23">
        <f>IF(F24&gt;0,G24/F24,"")</f>
        <v/>
      </c>
      <c r="O24" s="22">
        <f>IF(G24&gt;0,C24/G24,"")</f>
        <v/>
      </c>
      <c r="P24" s="25">
        <f>IF(I24&gt;0,C24/I24,"")</f>
        <v/>
      </c>
      <c r="Q24" s="19">
        <f>IF(C24="","",IF(G24=0,IF(C24&gt;='Hypothèses'!$B$12,"🔴 Aucun essai : changer de visuel/angle","⏳ Trop tôt, laisser tourner"),IF(O24&lt;='Hypothèses'!$B$11*0.8,"🟢 Rentable : +20 % de budget",IF(O24&lt;='Hypothèses'!$B$11,"🟡 Correct : tester 2 nouveaux visuels","🔴 Trop cher : couper les pires pubs"))))</f>
        <v/>
      </c>
    </row>
    <row r="25">
      <c r="A25" s="18" t="n">
        <v>46370</v>
      </c>
      <c r="B25" s="19" t="inlineStr">
        <is>
          <t>Google</t>
        </is>
      </c>
      <c r="C25" s="20" t="n"/>
      <c r="D25" s="21" t="n"/>
      <c r="E25" s="21" t="n"/>
      <c r="F25" s="21" t="n"/>
      <c r="G25" s="21" t="n"/>
      <c r="H25" s="21" t="n"/>
      <c r="I25" s="21" t="n"/>
      <c r="J25" s="22">
        <f>IF(D25&gt;0,C25/D25*1000,"")</f>
        <v/>
      </c>
      <c r="K25" s="23">
        <f>IF(AND(B25="Meta",D25&gt;0,E25&lt;&gt;""),E25/D25,"")</f>
        <v/>
      </c>
      <c r="L25" s="24">
        <f>IF(D25&gt;0,F25/D25,"")</f>
        <v/>
      </c>
      <c r="M25" s="22">
        <f>IF(F25&gt;0,C25/F25,"")</f>
        <v/>
      </c>
      <c r="N25" s="23">
        <f>IF(F25&gt;0,G25/F25,"")</f>
        <v/>
      </c>
      <c r="O25" s="22">
        <f>IF(G25&gt;0,C25/G25,"")</f>
        <v/>
      </c>
      <c r="P25" s="25">
        <f>IF(I25&gt;0,C25/I25,"")</f>
        <v/>
      </c>
      <c r="Q25" s="19">
        <f>IF(C25="","",IF(G25=0,IF(C25&gt;='Hypothèses'!$B$12,"🔴 Aucun essai : changer de visuel/angle","⏳ Trop tôt, laisser tourner"),IF(O25&lt;='Hypothèses'!$B$11*0.8,"🟢 Rentable : +20 % de budget",IF(O25&lt;='Hypothèses'!$B$11,"🟡 Correct : tester 2 nouveaux visuels","🔴 Trop cher : couper les pires pubs"))))</f>
        <v/>
      </c>
    </row>
    <row r="26">
      <c r="A26" s="18" t="n">
        <v>46377</v>
      </c>
      <c r="B26" s="19" t="inlineStr">
        <is>
          <t>Meta</t>
        </is>
      </c>
      <c r="C26" s="20" t="n"/>
      <c r="D26" s="21" t="n"/>
      <c r="E26" s="21" t="n"/>
      <c r="F26" s="21" t="n"/>
      <c r="G26" s="21" t="n"/>
      <c r="H26" s="21" t="n"/>
      <c r="I26" s="21" t="n"/>
      <c r="J26" s="22">
        <f>IF(D26&gt;0,C26/D26*1000,"")</f>
        <v/>
      </c>
      <c r="K26" s="23">
        <f>IF(AND(B26="Meta",D26&gt;0,E26&lt;&gt;""),E26/D26,"")</f>
        <v/>
      </c>
      <c r="L26" s="24">
        <f>IF(D26&gt;0,F26/D26,"")</f>
        <v/>
      </c>
      <c r="M26" s="22">
        <f>IF(F26&gt;0,C26/F26,"")</f>
        <v/>
      </c>
      <c r="N26" s="23">
        <f>IF(F26&gt;0,G26/F26,"")</f>
        <v/>
      </c>
      <c r="O26" s="22">
        <f>IF(G26&gt;0,C26/G26,"")</f>
        <v/>
      </c>
      <c r="P26" s="25">
        <f>IF(I26&gt;0,C26/I26,"")</f>
        <v/>
      </c>
      <c r="Q26" s="19">
        <f>IF(C26="","",IF(G26=0,IF(C26&gt;='Hypothèses'!$B$12,"🔴 Aucun essai : changer de visuel/angle","⏳ Trop tôt, laisser tourner"),IF(O26&lt;='Hypothèses'!$B$11*0.8,"🟢 Rentable : +20 % de budget",IF(O26&lt;='Hypothèses'!$B$11,"🟡 Correct : tester 2 nouveaux visuels","🔴 Trop cher : couper les pires pubs"))))</f>
        <v/>
      </c>
    </row>
    <row r="27">
      <c r="A27" s="18" t="n">
        <v>46377</v>
      </c>
      <c r="B27" s="19" t="inlineStr">
        <is>
          <t>Google</t>
        </is>
      </c>
      <c r="C27" s="20" t="n"/>
      <c r="D27" s="21" t="n"/>
      <c r="E27" s="21" t="n"/>
      <c r="F27" s="21" t="n"/>
      <c r="G27" s="21" t="n"/>
      <c r="H27" s="21" t="n"/>
      <c r="I27" s="21" t="n"/>
      <c r="J27" s="22">
        <f>IF(D27&gt;0,C27/D27*1000,"")</f>
        <v/>
      </c>
      <c r="K27" s="23">
        <f>IF(AND(B27="Meta",D27&gt;0,E27&lt;&gt;""),E27/D27,"")</f>
        <v/>
      </c>
      <c r="L27" s="24">
        <f>IF(D27&gt;0,F27/D27,"")</f>
        <v/>
      </c>
      <c r="M27" s="22">
        <f>IF(F27&gt;0,C27/F27,"")</f>
        <v/>
      </c>
      <c r="N27" s="23">
        <f>IF(F27&gt;0,G27/F27,"")</f>
        <v/>
      </c>
      <c r="O27" s="22">
        <f>IF(G27&gt;0,C27/G27,"")</f>
        <v/>
      </c>
      <c r="P27" s="25">
        <f>IF(I27&gt;0,C27/I27,"")</f>
        <v/>
      </c>
      <c r="Q27" s="19">
        <f>IF(C27="","",IF(G27=0,IF(C27&gt;='Hypothèses'!$B$12,"🔴 Aucun essai : changer de visuel/angle","⏳ Trop tôt, laisser tourner"),IF(O27&lt;='Hypothèses'!$B$11*0.8,"🟢 Rentable : +20 % de budget",IF(O27&lt;='Hypothèses'!$B$11,"🟡 Correct : tester 2 nouveaux visuels","🔴 Trop cher : couper les pires pubs"))))</f>
        <v/>
      </c>
    </row>
    <row r="28">
      <c r="A28" s="18" t="n">
        <v>46384</v>
      </c>
      <c r="B28" s="19" t="inlineStr">
        <is>
          <t>Meta</t>
        </is>
      </c>
      <c r="C28" s="20" t="n"/>
      <c r="D28" s="21" t="n"/>
      <c r="E28" s="21" t="n"/>
      <c r="F28" s="21" t="n"/>
      <c r="G28" s="21" t="n"/>
      <c r="H28" s="21" t="n"/>
      <c r="I28" s="21" t="n"/>
      <c r="J28" s="22">
        <f>IF(D28&gt;0,C28/D28*1000,"")</f>
        <v/>
      </c>
      <c r="K28" s="23">
        <f>IF(AND(B28="Meta",D28&gt;0,E28&lt;&gt;""),E28/D28,"")</f>
        <v/>
      </c>
      <c r="L28" s="24">
        <f>IF(D28&gt;0,F28/D28,"")</f>
        <v/>
      </c>
      <c r="M28" s="22">
        <f>IF(F28&gt;0,C28/F28,"")</f>
        <v/>
      </c>
      <c r="N28" s="23">
        <f>IF(F28&gt;0,G28/F28,"")</f>
        <v/>
      </c>
      <c r="O28" s="22">
        <f>IF(G28&gt;0,C28/G28,"")</f>
        <v/>
      </c>
      <c r="P28" s="25">
        <f>IF(I28&gt;0,C28/I28,"")</f>
        <v/>
      </c>
      <c r="Q28" s="19">
        <f>IF(C28="","",IF(G28=0,IF(C28&gt;='Hypothèses'!$B$12,"🔴 Aucun essai : changer de visuel/angle","⏳ Trop tôt, laisser tourner"),IF(O28&lt;='Hypothèses'!$B$11*0.8,"🟢 Rentable : +20 % de budget",IF(O28&lt;='Hypothèses'!$B$11,"🟡 Correct : tester 2 nouveaux visuels","🔴 Trop cher : couper les pires pubs"))))</f>
        <v/>
      </c>
    </row>
    <row r="29">
      <c r="A29" s="18" t="n">
        <v>46384</v>
      </c>
      <c r="B29" s="19" t="inlineStr">
        <is>
          <t>Google</t>
        </is>
      </c>
      <c r="C29" s="20" t="n"/>
      <c r="D29" s="21" t="n"/>
      <c r="E29" s="21" t="n"/>
      <c r="F29" s="21" t="n"/>
      <c r="G29" s="21" t="n"/>
      <c r="H29" s="21" t="n"/>
      <c r="I29" s="21" t="n"/>
      <c r="J29" s="22">
        <f>IF(D29&gt;0,C29/D29*1000,"")</f>
        <v/>
      </c>
      <c r="K29" s="23">
        <f>IF(AND(B29="Meta",D29&gt;0,E29&lt;&gt;""),E29/D29,"")</f>
        <v/>
      </c>
      <c r="L29" s="24">
        <f>IF(D29&gt;0,F29/D29,"")</f>
        <v/>
      </c>
      <c r="M29" s="22">
        <f>IF(F29&gt;0,C29/F29,"")</f>
        <v/>
      </c>
      <c r="N29" s="23">
        <f>IF(F29&gt;0,G29/F29,"")</f>
        <v/>
      </c>
      <c r="O29" s="22">
        <f>IF(G29&gt;0,C29/G29,"")</f>
        <v/>
      </c>
      <c r="P29" s="25">
        <f>IF(I29&gt;0,C29/I29,"")</f>
        <v/>
      </c>
      <c r="Q29" s="19">
        <f>IF(C29="","",IF(G29=0,IF(C29&gt;='Hypothèses'!$B$12,"🔴 Aucun essai : changer de visuel/angle","⏳ Trop tôt, laisser tourner"),IF(O29&lt;='Hypothèses'!$B$11*0.8,"🟢 Rentable : +20 % de budget",IF(O29&lt;='Hypothèses'!$B$11,"🟡 Correct : tester 2 nouveaux visuels","🔴 Trop cher : couper les pires pubs"))))</f>
        <v/>
      </c>
    </row>
    <row r="31">
      <c r="A31" s="26" t="inlineStr">
        <is>
          <t>TOTAL</t>
        </is>
      </c>
      <c r="B31" s="26" t="inlineStr">
        <is>
          <t>Meta</t>
        </is>
      </c>
      <c r="C31" s="27">
        <f>SUMIFS(C4:C29,$B$4:$B$29,"Meta")</f>
        <v/>
      </c>
      <c r="D31" s="28">
        <f>SUMIFS(D4:D29,$B$4:$B$29,"Meta")</f>
        <v/>
      </c>
      <c r="E31" s="28">
        <f>SUMIFS(E4:E29,$B$4:$B$29,"Meta")</f>
        <v/>
      </c>
      <c r="F31" s="28">
        <f>SUMIFS(F4:F29,$B$4:$B$29,"Meta")</f>
        <v/>
      </c>
      <c r="G31" s="28">
        <f>SUMIFS(G4:G29,$B$4:$B$29,"Meta")</f>
        <v/>
      </c>
      <c r="H31" s="28">
        <f>SUMIFS(H4:H29,$B$4:$B$29,"Meta")</f>
        <v/>
      </c>
      <c r="I31" s="28">
        <f>SUMIFS(I4:I29,$B$4:$B$29,"Meta")</f>
        <v/>
      </c>
      <c r="J31" s="29" t="n"/>
      <c r="K31" s="29" t="n"/>
      <c r="L31" s="29" t="n"/>
      <c r="M31" s="29" t="n"/>
      <c r="N31" s="30">
        <f>IF(F31&gt;0,G31/F31,"")</f>
        <v/>
      </c>
      <c r="O31" s="31">
        <f>IF(G31&gt;0,C31/G31,"")</f>
        <v/>
      </c>
      <c r="P31" s="32">
        <f>IF(I31&gt;0,C31/I31,"")</f>
        <v/>
      </c>
      <c r="Q31" s="29" t="n"/>
    </row>
    <row r="32">
      <c r="A32" s="29" t="n"/>
      <c r="B32" s="26" t="inlineStr">
        <is>
          <t>Google</t>
        </is>
      </c>
      <c r="C32" s="27">
        <f>SUMIFS(C4:C29,$B$4:$B$29,"Google")</f>
        <v/>
      </c>
      <c r="D32" s="28">
        <f>SUMIFS(D4:D29,$B$4:$B$29,"Google")</f>
        <v/>
      </c>
      <c r="E32" s="28">
        <f>SUMIFS(E4:E29,$B$4:$B$29,"Google")</f>
        <v/>
      </c>
      <c r="F32" s="28">
        <f>SUMIFS(F4:F29,$B$4:$B$29,"Google")</f>
        <v/>
      </c>
      <c r="G32" s="28">
        <f>SUMIFS(G4:G29,$B$4:$B$29,"Google")</f>
        <v/>
      </c>
      <c r="H32" s="28">
        <f>SUMIFS(H4:H29,$B$4:$B$29,"Google")</f>
        <v/>
      </c>
      <c r="I32" s="28">
        <f>SUMIFS(I4:I29,$B$4:$B$29,"Google")</f>
        <v/>
      </c>
      <c r="J32" s="29" t="n"/>
      <c r="K32" s="29" t="n"/>
      <c r="L32" s="29" t="n"/>
      <c r="M32" s="29" t="n"/>
      <c r="N32" s="30">
        <f>IF(F32&gt;0,G32/F32,"")</f>
        <v/>
      </c>
      <c r="O32" s="31">
        <f>IF(G32&gt;0,C32/G32,"")</f>
        <v/>
      </c>
      <c r="P32" s="32">
        <f>IF(I32&gt;0,C32/I32,"")</f>
        <v/>
      </c>
      <c r="Q32" s="29" t="n"/>
    </row>
    <row r="33">
      <c r="A33" s="29" t="n"/>
      <c r="B33" s="26" t="inlineStr">
        <is>
          <t>Tous</t>
        </is>
      </c>
      <c r="C33" s="27">
        <f>SUM(C4:C29)</f>
        <v/>
      </c>
      <c r="D33" s="28">
        <f>SUM(D4:D29)</f>
        <v/>
      </c>
      <c r="E33" s="28">
        <f>SUM(E4:E29)</f>
        <v/>
      </c>
      <c r="F33" s="28">
        <f>SUM(F4:F29)</f>
        <v/>
      </c>
      <c r="G33" s="28">
        <f>SUM(G4:G29)</f>
        <v/>
      </c>
      <c r="H33" s="28">
        <f>SUM(H4:H29)</f>
        <v/>
      </c>
      <c r="I33" s="28">
        <f>SUM(I4:I29)</f>
        <v/>
      </c>
      <c r="J33" s="29" t="n"/>
      <c r="K33" s="29" t="n"/>
      <c r="L33" s="29" t="n"/>
      <c r="M33" s="29" t="n"/>
      <c r="N33" s="30">
        <f>IF(F33&gt;0,G33/F33,"")</f>
        <v/>
      </c>
      <c r="O33" s="31">
        <f>IF(G33&gt;0,C33/G33,"")</f>
        <v/>
      </c>
      <c r="P33" s="32">
        <f>IF(I33&gt;0,C33/I33,"")</f>
        <v/>
      </c>
      <c r="Q33" s="29" t="n"/>
    </row>
    <row r="35">
      <c r="A35" s="6" t="inlineStr">
        <is>
          <t>Taux essai → payant réel</t>
        </is>
      </c>
      <c r="C35" s="33">
        <f>IF(G33&gt;0,I33/G33,"")</f>
        <v/>
      </c>
      <c r="D35" s="34" t="inlineStr">
        <is>
          <t>→ à reporter dans Hypothèses!B6 quand tu as au moins 20 essais</t>
        </is>
      </c>
    </row>
    <row r="36">
      <c r="A36" s="6" t="inlineStr">
        <is>
          <t>Repères</t>
        </is>
      </c>
      <c r="C36" s="34" t="inlineStr">
        <is>
          <t>Taux de hook Meta : viser &gt; 25 % · CTR lien Meta : viser &gt; 1 % · CTR Google Search : viser &gt; 4 %</t>
        </is>
      </c>
    </row>
  </sheetData>
  <conditionalFormatting sqref="K4:K29">
    <cfRule type="cellIs" priority="1" operator="lessThan" dxfId="1">
      <formula>0.25</formula>
    </cfRule>
  </conditionalFormatting>
  <conditionalFormatting sqref="O4:O29">
    <cfRule type="expression" priority="2" dxfId="2">
      <formula>AND(O4&lt;&gt;"",O4&gt;'Hypothèses'!$B$11)</formula>
    </cfRule>
    <cfRule type="expression" priority="3" dxfId="3">
      <formula>AND(O4&lt;&gt;"",O4&lt;='Hypothèses'!$B$11)</formula>
    </cfRule>
  </conditionalFormatting>
  <dataValidations count="1">
    <dataValidation sqref="B4 B5 B6 B7 B8 B9 B10 B11 B12 B13 B14 B15 B16 B17 B18 B19 B20 B21 B22 B23 B24 B25 B26 B27 B28 B29" showDropDown="0" showInputMessage="0" showErrorMessage="0" allowBlank="0" type="list">
      <formula1>"Meta,Google"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8" defaultRowHeight="15"/>
  <cols>
    <col width="4" customWidth="1" min="1" max="1"/>
    <col width="16" customWidth="1" min="2" max="2"/>
    <col width="34" customWidth="1" min="3" max="3"/>
    <col width="18" customWidth="1" min="4" max="4"/>
    <col width="70" customWidth="1" min="5" max="5"/>
    <col width="30" customWidth="1" min="6" max="6"/>
    <col width="26" customWidth="1" min="7" max="7"/>
    <col width="16" customWidth="1" min="8" max="8"/>
    <col width="60" customWidth="1" min="9" max="9"/>
    <col width="9" customWidth="1" min="10" max="10"/>
  </cols>
  <sheetData>
    <row r="1">
      <c r="A1" s="1" t="inlineStr">
        <is>
          <t>Annonces Meta — textes prêts à coller (Facebook + Instagram)</t>
        </is>
      </c>
    </row>
    <row r="2">
      <c r="A2" s="34" t="inlineStr">
        <is>
          <t>Rappel : 9:16 pour Reels/Stories + 4:5 pour le fil, dans la même annonce (« personnaliser le visuel par placement »).</t>
        </is>
      </c>
    </row>
    <row r="4" ht="32" customHeight="1">
      <c r="A4" s="10" t="inlineStr">
        <is>
          <t>#</t>
        </is>
      </c>
      <c r="B4" s="10" t="inlineStr">
        <is>
          <t>Campagne</t>
        </is>
      </c>
      <c r="C4" s="10" t="inlineStr">
        <is>
          <t>Vidéo (fichier)</t>
        </is>
      </c>
      <c r="D4" s="10" t="inlineStr">
        <is>
          <t>Angle</t>
        </is>
      </c>
      <c r="E4" s="10" t="inlineStr">
        <is>
          <t>Texte principal</t>
        </is>
      </c>
      <c r="F4" s="10" t="inlineStr">
        <is>
          <t>Titre (≤ 40 car.)</t>
        </is>
      </c>
      <c r="G4" s="10" t="inlineStr">
        <is>
          <t>Description</t>
        </is>
      </c>
      <c r="H4" s="10" t="inlineStr">
        <is>
          <t>Bouton</t>
        </is>
      </c>
      <c r="I4" s="10" t="inlineStr">
        <is>
          <t>Lien avec UTM</t>
        </is>
      </c>
      <c r="J4" s="10" t="inlineStr">
        <is>
          <t>Nb car. titre</t>
        </is>
      </c>
    </row>
    <row r="5" ht="190" customHeight="1">
      <c r="A5" s="5" t="n">
        <v>1</v>
      </c>
      <c r="B5" s="5" t="inlineStr">
        <is>
          <t>A – Acquisition</t>
        </is>
      </c>
      <c r="C5" s="5" t="inlineStr">
        <is>
          <t>voix/voix-03-surcharge.mp4</t>
        </is>
      </c>
      <c r="D5" s="5" t="inlineStr">
        <is>
          <t>Surcharge (10 s)</t>
        </is>
      </c>
      <c r="E5" s="5" t="inlineStr">
        <is>
          <t>Conseiller immo, surchargé ?
Appels manqués, relances oubliées, dossiers incomplets… LIMO s'en occupe pour toi.
✅ Relances automatiques
✅ Dossiers suivis jusqu'au notaire
✅ Estimations et annonces en quelques minutes
Essai gratuit 14 jours, sans carte bancaire.</t>
        </is>
      </c>
      <c r="F5" s="5" t="inlineStr">
        <is>
          <t>LIMO, le bras droit du conseiller</t>
        </is>
      </c>
      <c r="G5" s="5" t="inlineStr">
        <is>
          <t>Dès 49 €/mois · sans engagement</t>
        </is>
      </c>
      <c r="H5" s="5" t="inlineStr">
        <is>
          <t>S'inscrire</t>
        </is>
      </c>
      <c r="I5" s="5" t="inlineStr">
        <is>
          <t>https://app.leadengineai.fr/?utm_source=meta&amp;utm_medium=paid_social&amp;utm_campaign=acquisition&amp;utm_content=surcharge</t>
        </is>
      </c>
      <c r="J5" s="5">
        <f>LEN(F5)</f>
        <v/>
      </c>
    </row>
    <row r="6" ht="190" customHeight="1">
      <c r="A6" s="5" t="n">
        <v>2</v>
      </c>
      <c r="B6" s="5" t="inlineStr">
        <is>
          <t>A – Acquisition</t>
        </is>
      </c>
      <c r="C6" s="5" t="inlineStr">
        <is>
          <t>voix/voix-01-julien.mp4</t>
        </is>
      </c>
      <c r="D6" s="5" t="inlineStr">
        <is>
          <t>Storytelling (59 s)</t>
        </is>
      </c>
      <c r="E6" s="5" t="inlineStr">
        <is>
          <t>Julien a fait une super estimation. Puis il a oublié de rappeler.
Quelques jours plus tard, un autre panneau était sur la maison.
Le mandat ne se perd pas pendant l'estimation. Il se perd APRÈS.
LIMO garde le fil de chaque vendeur, chaque relance, chaque dossier.
👉 Réserve ta démo de 15 min.</t>
        </is>
      </c>
      <c r="F6" s="5" t="inlineStr">
        <is>
          <t>Ne perds plus un mandat par oubli</t>
        </is>
      </c>
      <c r="G6" s="5" t="inlineStr">
        <is>
          <t>Démo gratuite de 15 min</t>
        </is>
      </c>
      <c r="H6" s="5" t="inlineStr">
        <is>
          <t>Réserver</t>
        </is>
      </c>
      <c r="I6" s="5" t="inlineStr">
        <is>
          <t>https://app.leadengineai.fr/?utm_source=meta&amp;utm_medium=paid_social&amp;utm_campaign=acquisition&amp;utm_content=julien</t>
        </is>
      </c>
      <c r="J6" s="5">
        <f>LEN(F6)</f>
        <v/>
      </c>
    </row>
    <row r="7" ht="190" customHeight="1">
      <c r="A7" s="5" t="n">
        <v>3</v>
      </c>
      <c r="B7" s="5" t="inlineStr">
        <is>
          <t>A – Acquisition</t>
        </is>
      </c>
      <c r="C7" s="5" t="inlineStr">
        <is>
          <t>voix/voix-02-regarde-ca.mp4</t>
        </is>
      </c>
      <c r="D7" s="5" t="inlineStr">
        <is>
          <t>Démo produit (30 s)</t>
        </is>
      </c>
      <c r="E7" s="5" t="inlineStr">
        <is>
          <t>Conseiller immo, regarde ça 👀
Tu demandes « rappelle-moi le bien de M. et Mme T. » → LIMO te sort la fiche complète : documents, diagnostics, propriétaires, estimation.
Et pendant ce temps, il relance tes acquéreurs et ton diagnostiqueur.
Teste-le 14 jours, sans CB.</t>
        </is>
      </c>
      <c r="F7" s="5" t="inlineStr">
        <is>
          <t>Toute ton activité, au même endroit</t>
        </is>
      </c>
      <c r="G7" s="5" t="inlineStr">
        <is>
          <t>Essai gratuit 14 jours</t>
        </is>
      </c>
      <c r="H7" s="5" t="inlineStr">
        <is>
          <t>S'inscrire</t>
        </is>
      </c>
      <c r="I7" s="5" t="inlineStr">
        <is>
          <t>https://app.leadengineai.fr/?utm_source=meta&amp;utm_medium=paid_social&amp;utm_campaign=acquisition&amp;utm_content=regarde-ca</t>
        </is>
      </c>
      <c r="J7" s="5">
        <f>LEN(F7)</f>
        <v/>
      </c>
    </row>
    <row r="8" ht="190" customHeight="1">
      <c r="A8" s="5" t="n">
        <v>4</v>
      </c>
      <c r="B8" s="5" t="inlineStr">
        <is>
          <t>A – Acquisition</t>
        </is>
      </c>
      <c r="C8" s="5" t="inlineStr">
        <is>
          <t>pubs-30s/LIMO-pub30-01-mandats-perdus-9x16.mp4</t>
        </is>
      </c>
      <c r="D8" s="5" t="inlineStr">
        <is>
          <t>Perte de mandats (30 s)</t>
        </is>
      </c>
      <c r="E8" s="5" t="inlineStr">
        <is>
          <t>Combien de mandats as-tu perdus cette année… juste par manque de suivi ?
LIMO relance tes vendeurs au bon moment, prépare tes estimations et garde tous tes dossiers à jour.
Plus de temps sur le terrain, moins de temps sur l'administratif.
Essai gratuit 14 jours, sans carte bancaire.</t>
        </is>
      </c>
      <c r="F8" s="5" t="inlineStr">
        <is>
          <t>Arrête de perdre des mandats</t>
        </is>
      </c>
      <c r="G8" s="5" t="inlineStr">
        <is>
          <t>Dès 49 €/mois</t>
        </is>
      </c>
      <c r="H8" s="5" t="inlineStr">
        <is>
          <t>S'inscrire</t>
        </is>
      </c>
      <c r="I8" s="5" t="inlineStr">
        <is>
          <t>https://app.leadengineai.fr/?utm_source=meta&amp;utm_medium=paid_social&amp;utm_campaign=acquisition&amp;utm_content=mandats-perdus</t>
        </is>
      </c>
      <c r="J8" s="5">
        <f>LEN(F8)</f>
        <v/>
      </c>
    </row>
    <row r="9" ht="190" customHeight="1">
      <c r="A9" s="5" t="n">
        <v>5</v>
      </c>
      <c r="B9" s="5" t="inlineStr">
        <is>
          <t>A – Acquisition</t>
        </is>
      </c>
      <c r="C9" s="5" t="inlineStr">
        <is>
          <t>lifestyle/LIMO-life-02-pov-collegue-9x16.mp4</t>
        </is>
      </c>
      <c r="D9" s="5" t="inlineStr">
        <is>
          <t>POV / humour</t>
        </is>
      </c>
      <c r="E9" s="5" t="inlineStr">
        <is>
          <t>POV : ton collègue a l'air moins débordé que toi… et il rentre plus tôt 😅
Son secret ? LIMO, le bras droit du conseiller immo.
Relances, dossiers, annonces, estimations : c'est fait.
14 jours pour tester, sans CB.</t>
        </is>
      </c>
      <c r="F9" s="5" t="inlineStr">
        <is>
          <t>Son secret ? LIMO.</t>
        </is>
      </c>
      <c r="G9" s="5" t="inlineStr">
        <is>
          <t>Essai gratuit 14 jours</t>
        </is>
      </c>
      <c r="H9" s="5" t="inlineStr">
        <is>
          <t>En savoir plus</t>
        </is>
      </c>
      <c r="I9" s="5" t="inlineStr">
        <is>
          <t>https://app.leadengineai.fr/?utm_source=meta&amp;utm_medium=paid_social&amp;utm_campaign=acquisition&amp;utm_content=pov-collegue</t>
        </is>
      </c>
      <c r="J9" s="5">
        <f>LEN(F9)</f>
        <v/>
      </c>
    </row>
    <row r="10" ht="190" customHeight="1">
      <c r="A10" s="5" t="n">
        <v>6</v>
      </c>
      <c r="B10" s="5" t="inlineStr">
        <is>
          <t>B – Relance</t>
        </is>
      </c>
      <c r="C10" s="5" t="inlineStr">
        <is>
          <t>signatures/sign-01-derriere-chaque-signature.mp4</t>
        </is>
      </c>
      <c r="D10" s="5" t="inlineStr">
        <is>
          <t>Émotion (32 s)</t>
        </is>
      </c>
      <c r="E10" s="5" t="inlineStr">
        <is>
          <t>Le jour de la signature, on oublie tout le reste.
Les appels du soir, les relances, les compromis, les diagnostics, les échanges avec le notaire…
LIMO s'occupe du reste, pour un suivi ultra pro du mandat à la signature.
👉 Réserve ta démo de 15 min.</t>
        </is>
      </c>
      <c r="F10" s="5" t="inlineStr">
        <is>
          <t>Du mandat à la signature, sans oubli</t>
        </is>
      </c>
      <c r="G10" s="5" t="inlineStr">
        <is>
          <t>Démo gratuite de 15 min</t>
        </is>
      </c>
      <c r="H10" s="5" t="inlineStr">
        <is>
          <t>Réserver</t>
        </is>
      </c>
      <c r="I10" s="5" t="inlineStr">
        <is>
          <t>https://app.leadengineai.fr/?utm_source=meta&amp;utm_medium=paid_social&amp;utm_campaign=relance&amp;utm_content=signatures</t>
        </is>
      </c>
      <c r="J10" s="5">
        <f>LEN(F10)</f>
        <v/>
      </c>
    </row>
    <row r="11" ht="190" customHeight="1">
      <c r="A11" s="5" t="n">
        <v>7</v>
      </c>
      <c r="B11" s="5" t="inlineStr">
        <is>
          <t>B – Relance</t>
        </is>
      </c>
      <c r="C11" s="5" t="inlineStr">
        <is>
          <t>cine/LIMO-cine-03-le-calcul-9x16.mp4</t>
        </is>
      </c>
      <c r="D11" s="5" t="inlineStr">
        <is>
          <t>Rationnel (temps/argent)</t>
        </is>
      </c>
      <c r="E11" s="5" t="inlineStr">
        <is>
          <t>Fais le calcul : combien d'heures par semaine passes-tu sur l'administratif ?
LIMO te les rend : relances, dossiers, annonces et estimations automatisés.
Tu as déjà vu LIMO passer. Il ne te reste qu'à l'essayer : 14 jours, sans carte bancaire.</t>
        </is>
      </c>
      <c r="F11" s="5" t="inlineStr">
        <is>
          <t>Récupère tes heures d'admin</t>
        </is>
      </c>
      <c r="G11" s="5" t="inlineStr">
        <is>
          <t>Dès 49 €/mois · sans engagement</t>
        </is>
      </c>
      <c r="H11" s="5" t="inlineStr">
        <is>
          <t>S'inscrire</t>
        </is>
      </c>
      <c r="I11" s="5" t="inlineStr">
        <is>
          <t>https://app.leadengineai.fr/?utm_source=meta&amp;utm_medium=paid_social&amp;utm_campaign=relance&amp;utm_content=le-calcul</t>
        </is>
      </c>
      <c r="J11" s="5">
        <f>LEN(F11)</f>
        <v/>
      </c>
    </row>
    <row r="13">
      <c r="B13" s="6" t="inlineStr">
        <is>
          <t>Réglages campagne A</t>
        </is>
      </c>
      <c r="E13" s="35" t="inlineStr">
        <is>
          <t>Objectif Ventes · Conversion : CompleteRegistration · France · 25-60 ans · ciblage large (Advantage+) · placements Advantage+ · 20 €/jour · ne rien modifier 5-7 jours</t>
        </is>
      </c>
    </row>
    <row r="14">
      <c r="B14" s="6" t="inlineStr">
        <is>
          <t>Réglages campagne B</t>
        </is>
      </c>
      <c r="E14" s="35" t="inlineStr">
        <is>
          <t>Objectif Prospects · Conversion : Lead · Audiences : vidéo vue à 50 % + interactions Page/Insta + visiteurs site 30 j · EXCLURE les inscrits · 5-8 €/jour</t>
        </is>
      </c>
    </row>
  </sheetData>
  <conditionalFormatting sqref="J5:J11">
    <cfRule type="cellIs" priority="1" operator="greaterThan" dxfId="2">
      <formula>40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16" customWidth="1" min="1" max="1"/>
    <col width="70" customWidth="1" min="2" max="2"/>
    <col width="9" customWidth="1" min="3" max="3"/>
    <col width="8" customWidth="1" min="4" max="4"/>
    <col width="22" customWidth="1" min="5" max="5"/>
  </cols>
  <sheetData>
    <row r="1">
      <c r="A1" s="1" t="inlineStr">
        <is>
          <t>Google Ads Search — annonce responsive (RSA)</t>
        </is>
      </c>
    </row>
    <row r="2">
      <c r="A2" s="34" t="inlineStr">
        <is>
          <t>Limites Google : titre ≤ 30 caractères · description ≤ 90 · chemin ≤ 15. La colonne « Nb car. » se colore en rouge si ça dépasse.</t>
        </is>
      </c>
    </row>
    <row r="4" ht="32" customHeight="1">
      <c r="A4" s="10" t="inlineStr">
        <is>
          <t>Type</t>
        </is>
      </c>
      <c r="B4" s="10" t="inlineStr">
        <is>
          <t>Texte</t>
        </is>
      </c>
      <c r="C4" s="10" t="inlineStr">
        <is>
          <t>Nb car.</t>
        </is>
      </c>
      <c r="D4" s="10" t="inlineStr">
        <is>
          <t>Limite</t>
        </is>
      </c>
      <c r="E4" s="10" t="inlineStr">
        <is>
          <t>Épingler ?</t>
        </is>
      </c>
    </row>
    <row r="5">
      <c r="A5" s="5" t="inlineStr">
        <is>
          <t>Titre</t>
        </is>
      </c>
      <c r="B5" s="5" t="inlineStr">
        <is>
          <t>LIMO, logiciel immo IA</t>
        </is>
      </c>
      <c r="C5" s="5">
        <f>LEN(B5)</f>
        <v/>
      </c>
      <c r="D5" s="5" t="n">
        <v>30</v>
      </c>
      <c r="E5" s="5" t="inlineStr">
        <is>
          <t>Position 1</t>
        </is>
      </c>
    </row>
    <row r="6">
      <c r="A6" s="5" t="inlineStr">
        <is>
          <t>Titre</t>
        </is>
      </c>
      <c r="B6" s="5" t="inlineStr">
        <is>
          <t>Le bras droit du conseiller</t>
        </is>
      </c>
      <c r="C6" s="5">
        <f>LEN(B6)</f>
        <v/>
      </c>
      <c r="D6" s="5" t="n">
        <v>30</v>
      </c>
      <c r="E6" s="5" t="inlineStr"/>
    </row>
    <row r="7">
      <c r="A7" s="5" t="inlineStr">
        <is>
          <t>Titre</t>
        </is>
      </c>
      <c r="B7" s="5" t="inlineStr">
        <is>
          <t>Essai gratuit 14 jours</t>
        </is>
      </c>
      <c r="C7" s="5">
        <f>LEN(B7)</f>
        <v/>
      </c>
      <c r="D7" s="5" t="n">
        <v>30</v>
      </c>
      <c r="E7" s="5" t="inlineStr"/>
    </row>
    <row r="8">
      <c r="A8" s="5" t="inlineStr">
        <is>
          <t>Titre</t>
        </is>
      </c>
      <c r="B8" s="5" t="inlineStr">
        <is>
          <t>Sans carte bancaire</t>
        </is>
      </c>
      <c r="C8" s="5">
        <f>LEN(B8)</f>
        <v/>
      </c>
      <c r="D8" s="5" t="n">
        <v>30</v>
      </c>
      <c r="E8" s="5" t="inlineStr"/>
    </row>
    <row r="9">
      <c r="A9" s="5" t="inlineStr">
        <is>
          <t>Titre</t>
        </is>
      </c>
      <c r="B9" s="5" t="inlineStr">
        <is>
          <t>Dès 49 €/mois</t>
        </is>
      </c>
      <c r="C9" s="5">
        <f>LEN(B9)</f>
        <v/>
      </c>
      <c r="D9" s="5" t="n">
        <v>30</v>
      </c>
      <c r="E9" s="5" t="inlineStr"/>
    </row>
    <row r="10">
      <c r="A10" s="5" t="inlineStr">
        <is>
          <t>Titre</t>
        </is>
      </c>
      <c r="B10" s="5" t="inlineStr">
        <is>
          <t>Relances vendeurs auto</t>
        </is>
      </c>
      <c r="C10" s="5">
        <f>LEN(B10)</f>
        <v/>
      </c>
      <c r="D10" s="5" t="n">
        <v>30</v>
      </c>
      <c r="E10" s="5" t="inlineStr"/>
    </row>
    <row r="11">
      <c r="A11" s="5" t="inlineStr">
        <is>
          <t>Titre</t>
        </is>
      </c>
      <c r="B11" s="5" t="inlineStr">
        <is>
          <t>Ne perdez plus un mandat</t>
        </is>
      </c>
      <c r="C11" s="5">
        <f>LEN(B11)</f>
        <v/>
      </c>
      <c r="D11" s="5" t="n">
        <v>30</v>
      </c>
      <c r="E11" s="5" t="inlineStr"/>
    </row>
    <row r="12">
      <c r="A12" s="5" t="inlineStr">
        <is>
          <t>Titre</t>
        </is>
      </c>
      <c r="B12" s="5" t="inlineStr">
        <is>
          <t>Dossiers suivis au notaire</t>
        </is>
      </c>
      <c r="C12" s="5">
        <f>LEN(B12)</f>
        <v/>
      </c>
      <c r="D12" s="5" t="n">
        <v>30</v>
      </c>
      <c r="E12" s="5" t="inlineStr"/>
    </row>
    <row r="13">
      <c r="A13" s="5" t="inlineStr">
        <is>
          <t>Titre</t>
        </is>
      </c>
      <c r="B13" s="5" t="inlineStr">
        <is>
          <t>Estimations en 2 minutes</t>
        </is>
      </c>
      <c r="C13" s="5">
        <f>LEN(B13)</f>
        <v/>
      </c>
      <c r="D13" s="5" t="n">
        <v>30</v>
      </c>
      <c r="E13" s="5" t="inlineStr"/>
    </row>
    <row r="14">
      <c r="A14" s="5" t="inlineStr">
        <is>
          <t>Titre</t>
        </is>
      </c>
      <c r="B14" s="5" t="inlineStr">
        <is>
          <t>Annonces rédigées pour vous</t>
        </is>
      </c>
      <c r="C14" s="5">
        <f>LEN(B14)</f>
        <v/>
      </c>
      <c r="D14" s="5" t="n">
        <v>30</v>
      </c>
      <c r="E14" s="5" t="inlineStr"/>
    </row>
    <row r="15">
      <c r="A15" s="5" t="inlineStr">
        <is>
          <t>Titre</t>
        </is>
      </c>
      <c r="B15" s="5" t="inlineStr">
        <is>
          <t>Fait pour les mandataires</t>
        </is>
      </c>
      <c r="C15" s="5">
        <f>LEN(B15)</f>
        <v/>
      </c>
      <c r="D15" s="5" t="n">
        <v>30</v>
      </c>
      <c r="E15" s="5" t="inlineStr"/>
    </row>
    <row r="16">
      <c r="A16" s="5" t="inlineStr">
        <is>
          <t>Titre</t>
        </is>
      </c>
      <c r="B16" s="5" t="inlineStr">
        <is>
          <t>Démo gratuite de 15 min</t>
        </is>
      </c>
      <c r="C16" s="5">
        <f>LEN(B16)</f>
        <v/>
      </c>
      <c r="D16" s="5" t="n">
        <v>30</v>
      </c>
      <c r="E16" s="5" t="inlineStr"/>
    </row>
    <row r="17">
      <c r="A17" s="5" t="inlineStr">
        <is>
          <t>Titre</t>
        </is>
      </c>
      <c r="B17" s="5" t="inlineStr">
        <is>
          <t>Plus de temps sur le terrain</t>
        </is>
      </c>
      <c r="C17" s="5">
        <f>LEN(B17)</f>
        <v/>
      </c>
      <c r="D17" s="5" t="n">
        <v>30</v>
      </c>
      <c r="E17" s="5" t="inlineStr"/>
    </row>
    <row r="18">
      <c r="A18" s="5" t="inlineStr">
        <is>
          <t>Titre</t>
        </is>
      </c>
      <c r="B18" s="5" t="inlineStr">
        <is>
          <t>Tout votre suivi centralisé</t>
        </is>
      </c>
      <c r="C18" s="5">
        <f>LEN(B18)</f>
        <v/>
      </c>
      <c r="D18" s="5" t="n">
        <v>30</v>
      </c>
      <c r="E18" s="5" t="inlineStr"/>
    </row>
    <row r="19">
      <c r="A19" s="5" t="inlineStr">
        <is>
          <t>Titre</t>
        </is>
      </c>
      <c r="B19" s="5" t="inlineStr">
        <is>
          <t>Sans engagement</t>
        </is>
      </c>
      <c r="C19" s="5">
        <f>LEN(B19)</f>
        <v/>
      </c>
      <c r="D19" s="5" t="n">
        <v>30</v>
      </c>
      <c r="E19" s="5" t="inlineStr"/>
    </row>
    <row r="20">
      <c r="A20" s="5" t="inlineStr">
        <is>
          <t>Description</t>
        </is>
      </c>
      <c r="B20" s="5" t="inlineStr">
        <is>
          <t>Relances, dossiers, estimations, annonces : LIMO s'occupe du reste. 14 jours sans CB.</t>
        </is>
      </c>
      <c r="C20" s="5">
        <f>LEN(B20)</f>
        <v/>
      </c>
      <c r="D20" s="5" t="n">
        <v>90</v>
      </c>
      <c r="E20" s="5" t="n"/>
    </row>
    <row r="21">
      <c r="A21" s="5" t="inlineStr">
        <is>
          <t>Description</t>
        </is>
      </c>
      <c r="B21" s="5" t="inlineStr">
        <is>
          <t>Le bras droit des conseillers immobiliers indépendants. Dès 49 €/mois, sans engagement.</t>
        </is>
      </c>
      <c r="C21" s="5">
        <f>LEN(B21)</f>
        <v/>
      </c>
      <c r="D21" s="5" t="n">
        <v>90</v>
      </c>
      <c r="E21" s="5" t="n"/>
    </row>
    <row r="22">
      <c r="A22" s="5" t="inlineStr">
        <is>
          <t>Description</t>
        </is>
      </c>
      <c r="B22" s="5" t="inlineStr">
        <is>
          <t>Ne perdez plus un vendeur par oubli : LIMO vous rappelle qui relancer, quand et comment.</t>
        </is>
      </c>
      <c r="C22" s="5">
        <f>LEN(B22)</f>
        <v/>
      </c>
      <c r="D22" s="5" t="n">
        <v>90</v>
      </c>
      <c r="E22" s="5" t="n"/>
    </row>
    <row r="23">
      <c r="A23" s="5" t="inlineStr">
        <is>
          <t>Description</t>
        </is>
      </c>
      <c r="B23" s="5" t="inlineStr">
        <is>
          <t>Réservez une démo de 15 min et découvrez comment gagner des heures d'admin chaque semaine.</t>
        </is>
      </c>
      <c r="C23" s="5">
        <f>LEN(B23)</f>
        <v/>
      </c>
      <c r="D23" s="5" t="n">
        <v>90</v>
      </c>
      <c r="E23" s="5" t="n"/>
    </row>
    <row r="24">
      <c r="A24" s="5" t="inlineStr">
        <is>
          <t>Chemin d'URL</t>
        </is>
      </c>
      <c r="B24" s="5" t="inlineStr">
        <is>
          <t>logiciel</t>
        </is>
      </c>
      <c r="C24" s="5">
        <f>LEN(B24)</f>
        <v/>
      </c>
      <c r="D24" s="5" t="n">
        <v>15</v>
      </c>
      <c r="E24" s="5" t="n"/>
    </row>
    <row r="25">
      <c r="A25" s="5" t="inlineStr">
        <is>
          <t>Chemin d'URL</t>
        </is>
      </c>
      <c r="B25" s="5" t="inlineStr">
        <is>
          <t>conseiller-immo</t>
        </is>
      </c>
      <c r="C25" s="5">
        <f>LEN(B25)</f>
        <v/>
      </c>
      <c r="D25" s="5" t="n">
        <v>15</v>
      </c>
      <c r="E25" s="5" t="n"/>
    </row>
    <row r="26">
      <c r="A26" s="5" t="inlineStr">
        <is>
          <t>URL finale</t>
        </is>
      </c>
      <c r="B26" s="5" t="inlineStr">
        <is>
          <t>https://app.leadengineai.fr/?utm_source=google&amp;utm_medium=cpc&amp;utm_campaign=search-{_campagne}&amp;utm_term={keyword}</t>
        </is>
      </c>
      <c r="C26" s="5" t="n"/>
      <c r="D26" s="5" t="n"/>
      <c r="E26" s="5" t="inlineStr">
        <is>
          <t>Remplace {_campagne} par un paramètre personnalisé ou le nom de campagne</t>
        </is>
      </c>
    </row>
    <row r="28">
      <c r="A28" s="6" t="inlineStr">
        <is>
          <t>EXTENSIONS</t>
        </is>
      </c>
    </row>
    <row r="29">
      <c r="A29" s="36" t="inlineStr">
        <is>
          <t>Type</t>
        </is>
      </c>
      <c r="B29" s="36" t="inlineStr">
        <is>
          <t>Texte</t>
        </is>
      </c>
      <c r="C29" s="36" t="inlineStr">
        <is>
          <t>Nb car.</t>
        </is>
      </c>
      <c r="D29" s="36" t="inlineStr">
        <is>
          <t>Limite</t>
        </is>
      </c>
      <c r="E29" s="36" t="inlineStr">
        <is>
          <t>Détail / URL</t>
        </is>
      </c>
    </row>
    <row r="30">
      <c r="A30" s="5" t="inlineStr">
        <is>
          <t>Lien annexe</t>
        </is>
      </c>
      <c r="B30" s="5" t="inlineStr">
        <is>
          <t>Réserver une démo</t>
        </is>
      </c>
      <c r="C30" s="5">
        <f>LEN(B30)</f>
        <v/>
      </c>
      <c r="D30" s="5" t="n">
        <v>25</v>
      </c>
      <c r="E30" s="5" t="inlineStr">
        <is>
          <t>Démo de 15 min en visio · https://app.leadengineai.fr/demo</t>
        </is>
      </c>
    </row>
    <row r="31">
      <c r="A31" s="5" t="inlineStr">
        <is>
          <t>Lien annexe</t>
        </is>
      </c>
      <c r="B31" s="5" t="inlineStr">
        <is>
          <t>Tarifs</t>
        </is>
      </c>
      <c r="C31" s="5">
        <f>LEN(B31)</f>
        <v/>
      </c>
      <c r="D31" s="5" t="n">
        <v>25</v>
      </c>
      <c r="E31" s="5" t="inlineStr">
        <is>
          <t>Dès 49 €/mois, sans engagement · https://app.leadengineai.fr/tarifs</t>
        </is>
      </c>
    </row>
    <row r="32">
      <c r="A32" s="5" t="inlineStr">
        <is>
          <t>Lien annexe</t>
        </is>
      </c>
      <c r="B32" s="5" t="inlineStr">
        <is>
          <t>Fonctionnalités</t>
        </is>
      </c>
      <c r="C32" s="5">
        <f>LEN(B32)</f>
        <v/>
      </c>
      <c r="D32" s="5" t="n">
        <v>25</v>
      </c>
      <c r="E32" s="5" t="inlineStr">
        <is>
          <t>Relances, dossiers, estimations · https://app.leadengineai.fr/fonctionnalites</t>
        </is>
      </c>
    </row>
    <row r="33">
      <c r="A33" s="5" t="inlineStr">
        <is>
          <t>Lien annexe</t>
        </is>
      </c>
      <c r="B33" s="5" t="inlineStr">
        <is>
          <t>Essai gratuit 14 jours</t>
        </is>
      </c>
      <c r="C33" s="5">
        <f>LEN(B33)</f>
        <v/>
      </c>
      <c r="D33" s="5" t="n">
        <v>25</v>
      </c>
      <c r="E33" s="5" t="inlineStr">
        <is>
          <t>Sans carte bancaire · https://app.leadengineai.fr/inscription</t>
        </is>
      </c>
    </row>
    <row r="34">
      <c r="A34" s="5" t="inlineStr">
        <is>
          <t>Accroche</t>
        </is>
      </c>
      <c r="B34" s="5" t="inlineStr">
        <is>
          <t>Sans carte bancaire</t>
        </is>
      </c>
      <c r="C34" s="5">
        <f>LEN(B34)</f>
        <v/>
      </c>
      <c r="D34" s="5" t="n">
        <v>25</v>
      </c>
      <c r="E34" s="5" t="inlineStr"/>
    </row>
    <row r="35">
      <c r="A35" s="5" t="inlineStr">
        <is>
          <t>Accroche</t>
        </is>
      </c>
      <c r="B35" s="5" t="inlineStr">
        <is>
          <t>Sans engagement</t>
        </is>
      </c>
      <c r="C35" s="5">
        <f>LEN(B35)</f>
        <v/>
      </c>
      <c r="D35" s="5" t="n">
        <v>25</v>
      </c>
      <c r="E35" s="5" t="inlineStr"/>
    </row>
    <row r="36">
      <c r="A36" s="5" t="inlineStr">
        <is>
          <t>Accroche</t>
        </is>
      </c>
      <c r="B36" s="5" t="inlineStr">
        <is>
          <t>Support en français</t>
        </is>
      </c>
      <c r="C36" s="5">
        <f>LEN(B36)</f>
        <v/>
      </c>
      <c r="D36" s="5" t="n">
        <v>25</v>
      </c>
      <c r="E36" s="5" t="inlineStr"/>
    </row>
    <row r="37">
      <c r="A37" s="5" t="inlineStr">
        <is>
          <t>Accroche</t>
        </is>
      </c>
      <c r="B37" s="5" t="inlineStr">
        <is>
          <t>Prêt en 2 minutes</t>
        </is>
      </c>
      <c r="C37" s="5">
        <f>LEN(B37)</f>
        <v/>
      </c>
      <c r="D37" s="5" t="n">
        <v>25</v>
      </c>
      <c r="E37" s="5" t="inlineStr"/>
    </row>
    <row r="38">
      <c r="A38" s="5" t="inlineStr">
        <is>
          <t>Extrait structuré (Services)</t>
        </is>
      </c>
      <c r="B38" s="5" t="inlineStr">
        <is>
          <t>Relances, Estimations, Annonces, Dossiers, Suivi notaire</t>
        </is>
      </c>
      <c r="C38" s="5" t="inlineStr">
        <is>
          <t>—</t>
        </is>
      </c>
      <c r="D38" s="5" t="n">
        <v>25</v>
      </c>
      <c r="E38" s="5" t="inlineStr">
        <is>
          <t>Chaque valeur ≤ 25 car.</t>
        </is>
      </c>
    </row>
    <row r="40">
      <c r="A40" s="6" t="inlineStr">
        <is>
          <t>⚠️</t>
        </is>
      </c>
      <c r="B40" s="37" t="inlineStr">
        <is>
          <t>Les pages /demo, /tarifs, /fonctionnalites, /inscription sont des suggestions : remplace-les par les vraies URL de ton site (ou la page d'accueil).</t>
        </is>
      </c>
    </row>
  </sheetData>
  <conditionalFormatting sqref="C5:C26">
    <cfRule type="expression" priority="1" dxfId="2">
      <formula>AND(C5&lt;&gt;"",C5&gt;D5)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26" customWidth="1" min="1" max="1"/>
    <col width="46" customWidth="1" min="2" max="2"/>
    <col width="12" customWidth="1" min="3" max="3"/>
    <col width="18" customWidth="1" min="4" max="4"/>
    <col width="14" customWidth="1" min="5" max="5"/>
  </cols>
  <sheetData>
    <row r="1">
      <c r="A1" s="1" t="inlineStr">
        <is>
          <t>Mots-clés Google Search — campagne « LIMO – Search »</t>
        </is>
      </c>
    </row>
    <row r="2">
      <c r="A2" s="34" t="inlineStr">
        <is>
          <t>[exact] = correspondance exacte · "expression" = expression. Commence avec ça, pas de requête large au départ.</t>
        </is>
      </c>
    </row>
    <row r="4" ht="32" customHeight="1">
      <c r="A4" s="10" t="inlineStr">
        <is>
          <t>Groupe d'annonces</t>
        </is>
      </c>
      <c r="B4" s="10" t="inlineStr">
        <is>
          <t>Mot-clé</t>
        </is>
      </c>
      <c r="C4" s="10" t="inlineStr">
        <is>
          <t>Type</t>
        </is>
      </c>
      <c r="D4" s="10" t="inlineStr">
        <is>
          <t>CPC max départ (€)</t>
        </is>
      </c>
      <c r="E4" s="10" t="inlineStr">
        <is>
          <t>Statut</t>
        </is>
      </c>
    </row>
    <row r="5">
      <c r="A5" s="5" t="inlineStr">
        <is>
          <t>Logiciel métier</t>
        </is>
      </c>
      <c r="B5" s="5" t="inlineStr">
        <is>
          <t>logiciel agent immobilier</t>
        </is>
      </c>
      <c r="C5" s="5" t="inlineStr">
        <is>
          <t>Exact</t>
        </is>
      </c>
      <c r="D5" s="38" t="n">
        <v>2</v>
      </c>
      <c r="E5" s="11" t="inlineStr">
        <is>
          <t>Actif</t>
        </is>
      </c>
    </row>
    <row r="6">
      <c r="A6" s="5" t="inlineStr">
        <is>
          <t>Logiciel métier</t>
        </is>
      </c>
      <c r="B6" s="5" t="inlineStr">
        <is>
          <t>logiciel agent immobilier</t>
        </is>
      </c>
      <c r="C6" s="5" t="inlineStr">
        <is>
          <t>Expression</t>
        </is>
      </c>
      <c r="D6" s="38" t="n">
        <v>2</v>
      </c>
      <c r="E6" s="11" t="inlineStr">
        <is>
          <t>Actif</t>
        </is>
      </c>
    </row>
    <row r="7">
      <c r="A7" s="5" t="inlineStr">
        <is>
          <t>Logiciel métier</t>
        </is>
      </c>
      <c r="B7" s="5" t="inlineStr">
        <is>
          <t>logiciel conseiller immobilier</t>
        </is>
      </c>
      <c r="C7" s="5" t="inlineStr">
        <is>
          <t>Exact</t>
        </is>
      </c>
      <c r="D7" s="38" t="n">
        <v>2</v>
      </c>
      <c r="E7" s="11" t="inlineStr">
        <is>
          <t>Actif</t>
        </is>
      </c>
    </row>
    <row r="8">
      <c r="A8" s="5" t="inlineStr">
        <is>
          <t>Logiciel métier</t>
        </is>
      </c>
      <c r="B8" s="5" t="inlineStr">
        <is>
          <t>logiciel conseiller immobilier</t>
        </is>
      </c>
      <c r="C8" s="5" t="inlineStr">
        <is>
          <t>Expression</t>
        </is>
      </c>
      <c r="D8" s="38" t="n">
        <v>2</v>
      </c>
      <c r="E8" s="11" t="inlineStr">
        <is>
          <t>Actif</t>
        </is>
      </c>
    </row>
    <row r="9">
      <c r="A9" s="5" t="inlineStr">
        <is>
          <t>Logiciel métier</t>
        </is>
      </c>
      <c r="B9" s="5" t="inlineStr">
        <is>
          <t>logiciel mandataire immobilier</t>
        </is>
      </c>
      <c r="C9" s="5" t="inlineStr">
        <is>
          <t>Exact</t>
        </is>
      </c>
      <c r="D9" s="38" t="n">
        <v>2</v>
      </c>
      <c r="E9" s="11" t="inlineStr">
        <is>
          <t>Actif</t>
        </is>
      </c>
    </row>
    <row r="10">
      <c r="A10" s="5" t="inlineStr">
        <is>
          <t>Logiciel métier</t>
        </is>
      </c>
      <c r="B10" s="5" t="inlineStr">
        <is>
          <t>logiciel mandataire immobilier</t>
        </is>
      </c>
      <c r="C10" s="5" t="inlineStr">
        <is>
          <t>Expression</t>
        </is>
      </c>
      <c r="D10" s="38" t="n">
        <v>2</v>
      </c>
      <c r="E10" s="11" t="inlineStr">
        <is>
          <t>Actif</t>
        </is>
      </c>
    </row>
    <row r="11">
      <c r="A11" s="5" t="inlineStr">
        <is>
          <t>Logiciel métier</t>
        </is>
      </c>
      <c r="B11" s="5" t="inlineStr">
        <is>
          <t>crm immobilier</t>
        </is>
      </c>
      <c r="C11" s="5" t="inlineStr">
        <is>
          <t>Exact</t>
        </is>
      </c>
      <c r="D11" s="38" t="n">
        <v>2</v>
      </c>
      <c r="E11" s="11" t="inlineStr">
        <is>
          <t>Actif</t>
        </is>
      </c>
    </row>
    <row r="12">
      <c r="A12" s="5" t="inlineStr">
        <is>
          <t>Logiciel métier</t>
        </is>
      </c>
      <c r="B12" s="5" t="inlineStr">
        <is>
          <t>crm immobilier</t>
        </is>
      </c>
      <c r="C12" s="5" t="inlineStr">
        <is>
          <t>Expression</t>
        </is>
      </c>
      <c r="D12" s="38" t="n">
        <v>2</v>
      </c>
      <c r="E12" s="11" t="inlineStr">
        <is>
          <t>Actif</t>
        </is>
      </c>
    </row>
    <row r="13">
      <c r="A13" s="5" t="inlineStr">
        <is>
          <t>Logiciel métier</t>
        </is>
      </c>
      <c r="B13" s="5" t="inlineStr">
        <is>
          <t>crm agent immobilier</t>
        </is>
      </c>
      <c r="C13" s="5" t="inlineStr">
        <is>
          <t>Exact</t>
        </is>
      </c>
      <c r="D13" s="38" t="n">
        <v>2</v>
      </c>
      <c r="E13" s="11" t="inlineStr">
        <is>
          <t>Actif</t>
        </is>
      </c>
    </row>
    <row r="14">
      <c r="A14" s="5" t="inlineStr">
        <is>
          <t>Logiciel métier</t>
        </is>
      </c>
      <c r="B14" s="5" t="inlineStr">
        <is>
          <t>crm agent immobilier</t>
        </is>
      </c>
      <c r="C14" s="5" t="inlineStr">
        <is>
          <t>Expression</t>
        </is>
      </c>
      <c r="D14" s="38" t="n">
        <v>2</v>
      </c>
      <c r="E14" s="11" t="inlineStr">
        <is>
          <t>Actif</t>
        </is>
      </c>
    </row>
    <row r="15">
      <c r="A15" s="5" t="inlineStr">
        <is>
          <t>Logiciel métier</t>
        </is>
      </c>
      <c r="B15" s="5" t="inlineStr">
        <is>
          <t>logiciel immobilier indépendant</t>
        </is>
      </c>
      <c r="C15" s="5" t="inlineStr">
        <is>
          <t>Exact</t>
        </is>
      </c>
      <c r="D15" s="38" t="n">
        <v>2</v>
      </c>
      <c r="E15" s="11" t="inlineStr">
        <is>
          <t>Actif</t>
        </is>
      </c>
    </row>
    <row r="16">
      <c r="A16" s="5" t="inlineStr">
        <is>
          <t>Logiciel métier</t>
        </is>
      </c>
      <c r="B16" s="5" t="inlineStr">
        <is>
          <t>logiciel immobilier indépendant</t>
        </is>
      </c>
      <c r="C16" s="5" t="inlineStr">
        <is>
          <t>Expression</t>
        </is>
      </c>
      <c r="D16" s="38" t="n">
        <v>2</v>
      </c>
      <c r="E16" s="11" t="inlineStr">
        <is>
          <t>Actif</t>
        </is>
      </c>
    </row>
    <row r="17">
      <c r="A17" s="5" t="inlineStr">
        <is>
          <t>Logiciel métier</t>
        </is>
      </c>
      <c r="B17" s="5" t="inlineStr">
        <is>
          <t>outil conseiller immobilier</t>
        </is>
      </c>
      <c r="C17" s="5" t="inlineStr">
        <is>
          <t>Exact</t>
        </is>
      </c>
      <c r="D17" s="38" t="n">
        <v>2</v>
      </c>
      <c r="E17" s="11" t="inlineStr">
        <is>
          <t>Actif</t>
        </is>
      </c>
    </row>
    <row r="18">
      <c r="A18" s="5" t="inlineStr">
        <is>
          <t>Logiciel métier</t>
        </is>
      </c>
      <c r="B18" s="5" t="inlineStr">
        <is>
          <t>outil conseiller immobilier</t>
        </is>
      </c>
      <c r="C18" s="5" t="inlineStr">
        <is>
          <t>Expression</t>
        </is>
      </c>
      <c r="D18" s="38" t="n">
        <v>2</v>
      </c>
      <c r="E18" s="11" t="inlineStr">
        <is>
          <t>Actif</t>
        </is>
      </c>
    </row>
    <row r="19">
      <c r="A19" s="5" t="inlineStr">
        <is>
          <t>Logiciel métier</t>
        </is>
      </c>
      <c r="B19" s="5" t="inlineStr">
        <is>
          <t>application agent immobilier</t>
        </is>
      </c>
      <c r="C19" s="5" t="inlineStr">
        <is>
          <t>Exact</t>
        </is>
      </c>
      <c r="D19" s="38" t="n">
        <v>2</v>
      </c>
      <c r="E19" s="11" t="inlineStr">
        <is>
          <t>Actif</t>
        </is>
      </c>
    </row>
    <row r="20">
      <c r="A20" s="5" t="inlineStr">
        <is>
          <t>Logiciel métier</t>
        </is>
      </c>
      <c r="B20" s="5" t="inlineStr">
        <is>
          <t>application agent immobilier</t>
        </is>
      </c>
      <c r="C20" s="5" t="inlineStr">
        <is>
          <t>Expression</t>
        </is>
      </c>
      <c r="D20" s="38" t="n">
        <v>2</v>
      </c>
      <c r="E20" s="11" t="inlineStr">
        <is>
          <t>Actif</t>
        </is>
      </c>
    </row>
    <row r="21">
      <c r="A21" s="5" t="inlineStr">
        <is>
          <t>Logiciel métier</t>
        </is>
      </c>
      <c r="B21" s="5" t="inlineStr">
        <is>
          <t>logiciel gestion mandats immobilier</t>
        </is>
      </c>
      <c r="C21" s="5" t="inlineStr">
        <is>
          <t>Exact</t>
        </is>
      </c>
      <c r="D21" s="38" t="n">
        <v>2</v>
      </c>
      <c r="E21" s="11" t="inlineStr">
        <is>
          <t>Actif</t>
        </is>
      </c>
    </row>
    <row r="22">
      <c r="A22" s="5" t="inlineStr">
        <is>
          <t>Logiciel métier</t>
        </is>
      </c>
      <c r="B22" s="5" t="inlineStr">
        <is>
          <t>logiciel gestion mandats immobilier</t>
        </is>
      </c>
      <c r="C22" s="5" t="inlineStr">
        <is>
          <t>Expression</t>
        </is>
      </c>
      <c r="D22" s="38" t="n">
        <v>2</v>
      </c>
      <c r="E22" s="11" t="inlineStr">
        <is>
          <t>Actif</t>
        </is>
      </c>
    </row>
    <row r="23">
      <c r="A23" s="5" t="inlineStr">
        <is>
          <t>Logiciel métier</t>
        </is>
      </c>
      <c r="B23" s="5" t="inlineStr">
        <is>
          <t>logiciel suivi vendeurs immobilier</t>
        </is>
      </c>
      <c r="C23" s="5" t="inlineStr">
        <is>
          <t>Exact</t>
        </is>
      </c>
      <c r="D23" s="38" t="n">
        <v>2</v>
      </c>
      <c r="E23" s="11" t="inlineStr">
        <is>
          <t>Actif</t>
        </is>
      </c>
    </row>
    <row r="24">
      <c r="A24" s="5" t="inlineStr">
        <is>
          <t>Logiciel métier</t>
        </is>
      </c>
      <c r="B24" s="5" t="inlineStr">
        <is>
          <t>logiciel suivi vendeurs immobilier</t>
        </is>
      </c>
      <c r="C24" s="5" t="inlineStr">
        <is>
          <t>Expression</t>
        </is>
      </c>
      <c r="D24" s="38" t="n">
        <v>2</v>
      </c>
      <c r="E24" s="11" t="inlineStr">
        <is>
          <t>Actif</t>
        </is>
      </c>
    </row>
    <row r="25">
      <c r="A25" s="5" t="inlineStr">
        <is>
          <t>Douleurs</t>
        </is>
      </c>
      <c r="B25" s="5" t="inlineStr">
        <is>
          <t>relance vendeur immobilier</t>
        </is>
      </c>
      <c r="C25" s="5" t="inlineStr">
        <is>
          <t>Exact</t>
        </is>
      </c>
      <c r="D25" s="38" t="n">
        <v>2</v>
      </c>
      <c r="E25" s="11" t="inlineStr">
        <is>
          <t>Actif</t>
        </is>
      </c>
    </row>
    <row r="26">
      <c r="A26" s="5" t="inlineStr">
        <is>
          <t>Douleurs</t>
        </is>
      </c>
      <c r="B26" s="5" t="inlineStr">
        <is>
          <t>relance vendeur immobilier</t>
        </is>
      </c>
      <c r="C26" s="5" t="inlineStr">
        <is>
          <t>Expression</t>
        </is>
      </c>
      <c r="D26" s="38" t="n">
        <v>2</v>
      </c>
      <c r="E26" s="11" t="inlineStr">
        <is>
          <t>Actif</t>
        </is>
      </c>
    </row>
    <row r="27">
      <c r="A27" s="5" t="inlineStr">
        <is>
          <t>Douleurs</t>
        </is>
      </c>
      <c r="B27" s="5" t="inlineStr">
        <is>
          <t>suivi mandat immobilier</t>
        </is>
      </c>
      <c r="C27" s="5" t="inlineStr">
        <is>
          <t>Exact</t>
        </is>
      </c>
      <c r="D27" s="38" t="n">
        <v>2</v>
      </c>
      <c r="E27" s="11" t="inlineStr">
        <is>
          <t>Actif</t>
        </is>
      </c>
    </row>
    <row r="28">
      <c r="A28" s="5" t="inlineStr">
        <is>
          <t>Douleurs</t>
        </is>
      </c>
      <c r="B28" s="5" t="inlineStr">
        <is>
          <t>suivi mandat immobilier</t>
        </is>
      </c>
      <c r="C28" s="5" t="inlineStr">
        <is>
          <t>Expression</t>
        </is>
      </c>
      <c r="D28" s="38" t="n">
        <v>2</v>
      </c>
      <c r="E28" s="11" t="inlineStr">
        <is>
          <t>Actif</t>
        </is>
      </c>
    </row>
    <row r="29">
      <c r="A29" s="5" t="inlineStr">
        <is>
          <t>Douleurs</t>
        </is>
      </c>
      <c r="B29" s="5" t="inlineStr">
        <is>
          <t>logiciel estimation immobilière</t>
        </is>
      </c>
      <c r="C29" s="5" t="inlineStr">
        <is>
          <t>Exact</t>
        </is>
      </c>
      <c r="D29" s="38" t="n">
        <v>2</v>
      </c>
      <c r="E29" s="11" t="inlineStr">
        <is>
          <t>Actif</t>
        </is>
      </c>
    </row>
    <row r="30">
      <c r="A30" s="5" t="inlineStr">
        <is>
          <t>Douleurs</t>
        </is>
      </c>
      <c r="B30" s="5" t="inlineStr">
        <is>
          <t>logiciel estimation immobilière</t>
        </is>
      </c>
      <c r="C30" s="5" t="inlineStr">
        <is>
          <t>Expression</t>
        </is>
      </c>
      <c r="D30" s="38" t="n">
        <v>2</v>
      </c>
      <c r="E30" s="11" t="inlineStr">
        <is>
          <t>Actif</t>
        </is>
      </c>
    </row>
    <row r="31">
      <c r="A31" s="5" t="inlineStr">
        <is>
          <t>Douleurs</t>
        </is>
      </c>
      <c r="B31" s="5" t="inlineStr">
        <is>
          <t>rédiger annonce immobilière</t>
        </is>
      </c>
      <c r="C31" s="5" t="inlineStr">
        <is>
          <t>Exact</t>
        </is>
      </c>
      <c r="D31" s="38" t="n">
        <v>2</v>
      </c>
      <c r="E31" s="11" t="inlineStr">
        <is>
          <t>Actif</t>
        </is>
      </c>
    </row>
    <row r="32">
      <c r="A32" s="5" t="inlineStr">
        <is>
          <t>Douleurs</t>
        </is>
      </c>
      <c r="B32" s="5" t="inlineStr">
        <is>
          <t>rédiger annonce immobilière</t>
        </is>
      </c>
      <c r="C32" s="5" t="inlineStr">
        <is>
          <t>Expression</t>
        </is>
      </c>
      <c r="D32" s="38" t="n">
        <v>2</v>
      </c>
      <c r="E32" s="11" t="inlineStr">
        <is>
          <t>Actif</t>
        </is>
      </c>
    </row>
    <row r="33">
      <c r="A33" s="5" t="inlineStr">
        <is>
          <t>Douleurs</t>
        </is>
      </c>
      <c r="B33" s="5" t="inlineStr">
        <is>
          <t>outil relance prospects immobilier</t>
        </is>
      </c>
      <c r="C33" s="5" t="inlineStr">
        <is>
          <t>Exact</t>
        </is>
      </c>
      <c r="D33" s="38" t="n">
        <v>2</v>
      </c>
      <c r="E33" s="11" t="inlineStr">
        <is>
          <t>Actif</t>
        </is>
      </c>
    </row>
    <row r="34">
      <c r="A34" s="5" t="inlineStr">
        <is>
          <t>Douleurs</t>
        </is>
      </c>
      <c r="B34" s="5" t="inlineStr">
        <is>
          <t>outil relance prospects immobilier</t>
        </is>
      </c>
      <c r="C34" s="5" t="inlineStr">
        <is>
          <t>Expression</t>
        </is>
      </c>
      <c r="D34" s="38" t="n">
        <v>2</v>
      </c>
      <c r="E34" s="11" t="inlineStr">
        <is>
          <t>Actif</t>
        </is>
      </c>
    </row>
    <row r="35">
      <c r="A35" s="5" t="inlineStr">
        <is>
          <t>Douleurs</t>
        </is>
      </c>
      <c r="B35" s="5" t="inlineStr">
        <is>
          <t>organisation agent immobilier</t>
        </is>
      </c>
      <c r="C35" s="5" t="inlineStr">
        <is>
          <t>Exact</t>
        </is>
      </c>
      <c r="D35" s="38" t="n">
        <v>2</v>
      </c>
      <c r="E35" s="11" t="inlineStr">
        <is>
          <t>Actif</t>
        </is>
      </c>
    </row>
    <row r="36">
      <c r="A36" s="5" t="inlineStr">
        <is>
          <t>Douleurs</t>
        </is>
      </c>
      <c r="B36" s="5" t="inlineStr">
        <is>
          <t>organisation agent immobilier</t>
        </is>
      </c>
      <c r="C36" s="5" t="inlineStr">
        <is>
          <t>Expression</t>
        </is>
      </c>
      <c r="D36" s="38" t="n">
        <v>2</v>
      </c>
      <c r="E36" s="11" t="inlineStr">
        <is>
          <t>Actif</t>
        </is>
      </c>
    </row>
    <row r="37">
      <c r="A37" s="5" t="inlineStr">
        <is>
          <t>Douleurs</t>
        </is>
      </c>
      <c r="B37" s="5" t="inlineStr">
        <is>
          <t>gestion dossier vente immobilière</t>
        </is>
      </c>
      <c r="C37" s="5" t="inlineStr">
        <is>
          <t>Exact</t>
        </is>
      </c>
      <c r="D37" s="38" t="n">
        <v>2</v>
      </c>
      <c r="E37" s="11" t="inlineStr">
        <is>
          <t>Actif</t>
        </is>
      </c>
    </row>
    <row r="38">
      <c r="A38" s="5" t="inlineStr">
        <is>
          <t>Douleurs</t>
        </is>
      </c>
      <c r="B38" s="5" t="inlineStr">
        <is>
          <t>gestion dossier vente immobilière</t>
        </is>
      </c>
      <c r="C38" s="5" t="inlineStr">
        <is>
          <t>Expression</t>
        </is>
      </c>
      <c r="D38" s="38" t="n">
        <v>2</v>
      </c>
      <c r="E38" s="11" t="inlineStr">
        <is>
          <t>Actif</t>
        </is>
      </c>
    </row>
    <row r="39">
      <c r="A39" s="5" t="inlineStr">
        <is>
          <t>IA</t>
        </is>
      </c>
      <c r="B39" s="5" t="inlineStr">
        <is>
          <t>ia agent immobilier</t>
        </is>
      </c>
      <c r="C39" s="5" t="inlineStr">
        <is>
          <t>Exact</t>
        </is>
      </c>
      <c r="D39" s="38" t="n">
        <v>2</v>
      </c>
      <c r="E39" s="11" t="inlineStr">
        <is>
          <t>Actif</t>
        </is>
      </c>
    </row>
    <row r="40">
      <c r="A40" s="5" t="inlineStr">
        <is>
          <t>IA</t>
        </is>
      </c>
      <c r="B40" s="5" t="inlineStr">
        <is>
          <t>ia agent immobilier</t>
        </is>
      </c>
      <c r="C40" s="5" t="inlineStr">
        <is>
          <t>Expression</t>
        </is>
      </c>
      <c r="D40" s="38" t="n">
        <v>2</v>
      </c>
      <c r="E40" s="11" t="inlineStr">
        <is>
          <t>Actif</t>
        </is>
      </c>
    </row>
    <row r="41">
      <c r="A41" s="5" t="inlineStr">
        <is>
          <t>IA</t>
        </is>
      </c>
      <c r="B41" s="5" t="inlineStr">
        <is>
          <t>intelligence artificielle immobilier</t>
        </is>
      </c>
      <c r="C41" s="5" t="inlineStr">
        <is>
          <t>Exact</t>
        </is>
      </c>
      <c r="D41" s="38" t="n">
        <v>2</v>
      </c>
      <c r="E41" s="11" t="inlineStr">
        <is>
          <t>Actif</t>
        </is>
      </c>
    </row>
    <row r="42">
      <c r="A42" s="5" t="inlineStr">
        <is>
          <t>IA</t>
        </is>
      </c>
      <c r="B42" s="5" t="inlineStr">
        <is>
          <t>intelligence artificielle immobilier</t>
        </is>
      </c>
      <c r="C42" s="5" t="inlineStr">
        <is>
          <t>Expression</t>
        </is>
      </c>
      <c r="D42" s="38" t="n">
        <v>2</v>
      </c>
      <c r="E42" s="11" t="inlineStr">
        <is>
          <t>Actif</t>
        </is>
      </c>
    </row>
    <row r="43">
      <c r="A43" s="5" t="inlineStr">
        <is>
          <t>IA</t>
        </is>
      </c>
      <c r="B43" s="5" t="inlineStr">
        <is>
          <t>assistant ia immobilier</t>
        </is>
      </c>
      <c r="C43" s="5" t="inlineStr">
        <is>
          <t>Exact</t>
        </is>
      </c>
      <c r="D43" s="38" t="n">
        <v>2</v>
      </c>
      <c r="E43" s="11" t="inlineStr">
        <is>
          <t>Actif</t>
        </is>
      </c>
    </row>
    <row r="44">
      <c r="A44" s="5" t="inlineStr">
        <is>
          <t>IA</t>
        </is>
      </c>
      <c r="B44" s="5" t="inlineStr">
        <is>
          <t>assistant ia immobilier</t>
        </is>
      </c>
      <c r="C44" s="5" t="inlineStr">
        <is>
          <t>Expression</t>
        </is>
      </c>
      <c r="D44" s="38" t="n">
        <v>2</v>
      </c>
      <c r="E44" s="11" t="inlineStr">
        <is>
          <t>Actif</t>
        </is>
      </c>
    </row>
    <row r="45">
      <c r="A45" s="5" t="inlineStr">
        <is>
          <t>IA</t>
        </is>
      </c>
      <c r="B45" s="5" t="inlineStr">
        <is>
          <t>ia conseiller immobilier</t>
        </is>
      </c>
      <c r="C45" s="5" t="inlineStr">
        <is>
          <t>Exact</t>
        </is>
      </c>
      <c r="D45" s="38" t="n">
        <v>2</v>
      </c>
      <c r="E45" s="11" t="inlineStr">
        <is>
          <t>Actif</t>
        </is>
      </c>
    </row>
    <row r="46">
      <c r="A46" s="5" t="inlineStr">
        <is>
          <t>IA</t>
        </is>
      </c>
      <c r="B46" s="5" t="inlineStr">
        <is>
          <t>ia conseiller immobilier</t>
        </is>
      </c>
      <c r="C46" s="5" t="inlineStr">
        <is>
          <t>Expression</t>
        </is>
      </c>
      <c r="D46" s="38" t="n">
        <v>2</v>
      </c>
      <c r="E46" s="11" t="inlineStr">
        <is>
          <t>Actif</t>
        </is>
      </c>
    </row>
    <row r="47">
      <c r="A47" s="5" t="inlineStr">
        <is>
          <t>IA</t>
        </is>
      </c>
      <c r="B47" s="5" t="inlineStr">
        <is>
          <t>chatgpt agent immobilier</t>
        </is>
      </c>
      <c r="C47" s="5" t="inlineStr">
        <is>
          <t>Exact</t>
        </is>
      </c>
      <c r="D47" s="38" t="n">
        <v>2</v>
      </c>
      <c r="E47" s="11" t="inlineStr">
        <is>
          <t>Actif</t>
        </is>
      </c>
    </row>
    <row r="48">
      <c r="A48" s="5" t="inlineStr">
        <is>
          <t>IA</t>
        </is>
      </c>
      <c r="B48" s="5" t="inlineStr">
        <is>
          <t>chatgpt agent immobilier</t>
        </is>
      </c>
      <c r="C48" s="5" t="inlineStr">
        <is>
          <t>Expression</t>
        </is>
      </c>
      <c r="D48" s="38" t="n">
        <v>2</v>
      </c>
      <c r="E48" s="11" t="inlineStr">
        <is>
          <t>Actif</t>
        </is>
      </c>
    </row>
    <row r="49">
      <c r="A49" s="5" t="inlineStr">
        <is>
          <t>IA</t>
        </is>
      </c>
      <c r="B49" s="5" t="inlineStr">
        <is>
          <t>outil ia immobilier</t>
        </is>
      </c>
      <c r="C49" s="5" t="inlineStr">
        <is>
          <t>Exact</t>
        </is>
      </c>
      <c r="D49" s="38" t="n">
        <v>2</v>
      </c>
      <c r="E49" s="11" t="inlineStr">
        <is>
          <t>Actif</t>
        </is>
      </c>
    </row>
    <row r="50">
      <c r="A50" s="5" t="inlineStr">
        <is>
          <t>IA</t>
        </is>
      </c>
      <c r="B50" s="5" t="inlineStr">
        <is>
          <t>outil ia immobilier</t>
        </is>
      </c>
      <c r="C50" s="5" t="inlineStr">
        <is>
          <t>Expression</t>
        </is>
      </c>
      <c r="D50" s="38" t="n">
        <v>2</v>
      </c>
      <c r="E50" s="11" t="inlineStr">
        <is>
          <t>Actif</t>
        </is>
      </c>
    </row>
    <row r="51">
      <c r="A51" s="5" t="inlineStr">
        <is>
          <t>Marque</t>
        </is>
      </c>
      <c r="B51" s="5" t="inlineStr">
        <is>
          <t>limo immobilier</t>
        </is>
      </c>
      <c r="C51" s="5" t="inlineStr">
        <is>
          <t>Exact</t>
        </is>
      </c>
      <c r="D51" s="38" t="n">
        <v>0.5</v>
      </c>
      <c r="E51" s="11" t="inlineStr">
        <is>
          <t>Actif</t>
        </is>
      </c>
    </row>
    <row r="52">
      <c r="A52" s="5" t="inlineStr">
        <is>
          <t>Marque</t>
        </is>
      </c>
      <c r="B52" s="5" t="inlineStr">
        <is>
          <t>limo immo</t>
        </is>
      </c>
      <c r="C52" s="5" t="inlineStr">
        <is>
          <t>Exact</t>
        </is>
      </c>
      <c r="D52" s="38" t="n">
        <v>0.5</v>
      </c>
      <c r="E52" s="11" t="inlineStr">
        <is>
          <t>Actif</t>
        </is>
      </c>
    </row>
    <row r="53">
      <c r="A53" s="5" t="inlineStr">
        <is>
          <t>Marque</t>
        </is>
      </c>
      <c r="B53" s="5" t="inlineStr">
        <is>
          <t>leadengine ai</t>
        </is>
      </c>
      <c r="C53" s="5" t="inlineStr">
        <is>
          <t>Exact</t>
        </is>
      </c>
      <c r="D53" s="38" t="n">
        <v>0.5</v>
      </c>
      <c r="E53" s="11" t="inlineStr">
        <is>
          <t>Actif</t>
        </is>
      </c>
    </row>
    <row r="55">
      <c r="A55" s="6" t="inlineStr">
        <is>
          <t>Note</t>
        </is>
      </c>
      <c r="B55" s="39" t="inlineStr">
        <is>
          <t>CPC max de départ = HYPOTHÈSE prudente ; ajuste selon le « CPC moyen » réel après 1 semaine. Marque = campagne séparée à petit budget. « chatgpt agent immobilier » : l'annonce ne doit pas laisser entendre que LIMO inclut ChatGPT.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30" customWidth="1" min="1" max="1"/>
    <col width="60" customWidth="1" min="2" max="2"/>
  </cols>
  <sheetData>
    <row r="1">
      <c r="A1" s="1" t="inlineStr">
        <is>
          <t>Mots-clés négatifs — niveau campagne (requête large négative)</t>
        </is>
      </c>
    </row>
    <row r="3" ht="32" customHeight="1">
      <c r="A3" s="10" t="inlineStr">
        <is>
          <t>Mot-clé négatif</t>
        </is>
      </c>
      <c r="B3" s="10" t="inlineStr">
        <is>
          <t>Raison</t>
        </is>
      </c>
    </row>
    <row r="4">
      <c r="A4" s="5" t="inlineStr">
        <is>
          <t>emploi</t>
        </is>
      </c>
      <c r="B4" s="5" t="inlineStr">
        <is>
          <t>Chercheurs d'emploi</t>
        </is>
      </c>
    </row>
    <row r="5">
      <c r="A5" s="5" t="inlineStr">
        <is>
          <t>recrutement</t>
        </is>
      </c>
      <c r="B5" s="5" t="inlineStr">
        <is>
          <t>Chercheurs d'emploi</t>
        </is>
      </c>
    </row>
    <row r="6">
      <c r="A6" s="5" t="inlineStr">
        <is>
          <t>salaire</t>
        </is>
      </c>
      <c r="B6" s="5" t="inlineStr">
        <is>
          <t>Chercheurs d'emploi</t>
        </is>
      </c>
    </row>
    <row r="7">
      <c r="A7" s="5" t="inlineStr">
        <is>
          <t>devenir</t>
        </is>
      </c>
      <c r="B7" s="5" t="inlineStr">
        <is>
          <t>« devenir agent immobilier »</t>
        </is>
      </c>
    </row>
    <row r="8">
      <c r="A8" s="5" t="inlineStr">
        <is>
          <t>formation</t>
        </is>
      </c>
      <c r="B8" s="5" t="inlineStr">
        <is>
          <t>Futurs agents, pas clients</t>
        </is>
      </c>
    </row>
    <row r="9">
      <c r="A9" s="5" t="inlineStr">
        <is>
          <t>stage</t>
        </is>
      </c>
      <c r="B9" s="5" t="inlineStr">
        <is>
          <t>Étudiants</t>
        </is>
      </c>
    </row>
    <row r="10">
      <c r="A10" s="5" t="inlineStr">
        <is>
          <t>cpf</t>
        </is>
      </c>
      <c r="B10" s="5" t="inlineStr">
        <is>
          <t>Formation</t>
        </is>
      </c>
    </row>
    <row r="11">
      <c r="A11" s="5" t="inlineStr">
        <is>
          <t>bts</t>
        </is>
      </c>
      <c r="B11" s="5" t="inlineStr">
        <is>
          <t>Études</t>
        </is>
      </c>
    </row>
    <row r="12">
      <c r="A12" s="5" t="inlineStr">
        <is>
          <t>diplôme</t>
        </is>
      </c>
      <c r="B12" s="5" t="inlineStr">
        <is>
          <t>Études</t>
        </is>
      </c>
    </row>
    <row r="13">
      <c r="A13" s="5" t="inlineStr">
        <is>
          <t>école</t>
        </is>
      </c>
      <c r="B13" s="5" t="inlineStr">
        <is>
          <t>Études</t>
        </is>
      </c>
    </row>
    <row r="14">
      <c r="A14" s="5" t="inlineStr">
        <is>
          <t>location</t>
        </is>
      </c>
      <c r="B14" s="5" t="inlineStr">
        <is>
          <t>Particuliers locataires</t>
        </is>
      </c>
    </row>
    <row r="15">
      <c r="A15" s="5" t="inlineStr">
        <is>
          <t>louer</t>
        </is>
      </c>
      <c r="B15" s="5" t="inlineStr">
        <is>
          <t>Particuliers</t>
        </is>
      </c>
    </row>
    <row r="16">
      <c r="A16" s="5" t="inlineStr">
        <is>
          <t>appartement</t>
        </is>
      </c>
      <c r="B16" s="5" t="inlineStr">
        <is>
          <t>Particuliers acheteurs</t>
        </is>
      </c>
    </row>
    <row r="17">
      <c r="A17" s="5" t="inlineStr">
        <is>
          <t>maison à vendre</t>
        </is>
      </c>
      <c r="B17" s="5" t="inlineStr">
        <is>
          <t>Particuliers acheteurs</t>
        </is>
      </c>
    </row>
    <row r="18">
      <c r="A18" s="5" t="inlineStr">
        <is>
          <t>achat maison</t>
        </is>
      </c>
      <c r="B18" s="5" t="inlineStr">
        <is>
          <t>Particuliers</t>
        </is>
      </c>
    </row>
    <row r="19">
      <c r="A19" s="5" t="inlineStr">
        <is>
          <t>prix m2</t>
        </is>
      </c>
      <c r="B19" s="5" t="inlineStr">
        <is>
          <t>Particuliers</t>
        </is>
      </c>
    </row>
    <row r="20">
      <c r="A20" s="5" t="inlineStr">
        <is>
          <t>notaire frais</t>
        </is>
      </c>
      <c r="B20" s="5" t="inlineStr">
        <is>
          <t>Particuliers</t>
        </is>
      </c>
    </row>
    <row r="21">
      <c r="A21" s="5" t="inlineStr">
        <is>
          <t>crack</t>
        </is>
      </c>
      <c r="B21" s="5" t="inlineStr">
        <is>
          <t>Téléchargement illégal</t>
        </is>
      </c>
    </row>
    <row r="22">
      <c r="A22" s="5" t="inlineStr">
        <is>
          <t>pdf</t>
        </is>
      </c>
      <c r="B22" s="5" t="inlineStr">
        <is>
          <t>Recherche de documents</t>
        </is>
      </c>
    </row>
    <row r="23">
      <c r="A23" s="5" t="inlineStr">
        <is>
          <t>modèle</t>
        </is>
      </c>
      <c r="B23" s="5" t="inlineStr">
        <is>
          <t>Recherche de modèles gratuits</t>
        </is>
      </c>
    </row>
    <row r="24">
      <c r="A24" s="5" t="inlineStr">
        <is>
          <t>définition</t>
        </is>
      </c>
      <c r="B24" s="5" t="inlineStr">
        <is>
          <t>Recherche informationnelle</t>
        </is>
      </c>
    </row>
    <row r="25">
      <c r="A25" s="5" t="inlineStr">
        <is>
          <t>avis client</t>
        </is>
      </c>
      <c r="B25" s="5" t="inlineStr">
        <is>
          <t>Particuliers</t>
        </is>
      </c>
    </row>
    <row r="26">
      <c r="A26" s="5" t="inlineStr">
        <is>
          <t>syndic</t>
        </is>
      </c>
      <c r="B26" s="5" t="inlineStr">
        <is>
          <t>Hors cible</t>
        </is>
      </c>
    </row>
    <row r="27">
      <c r="A27" s="5" t="inlineStr">
        <is>
          <t>gestion locative</t>
        </is>
      </c>
      <c r="B27" s="5" t="inlineStr">
        <is>
          <t>Hors cible (à revoir si LIMO l'adresse)</t>
        </is>
      </c>
    </row>
    <row r="29">
      <c r="A29" s="34" t="inlineStr">
        <is>
          <t>Chaque semaine : Google Ads → Mots-clés → Termes de recherche → ajouter ici tout terme hors sujet.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2026-10-01T18:27:04Z</dcterms:created>
  <dcterms:modified xsi:type="dcterms:W3CDTF">2026-10-01T18:27:04Z</dcterms:modified>
</cp:coreProperties>
</file>