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 d'emploi" sheetId="1" state="visible" r:id="rId1"/>
    <sheet name="Checklist" sheetId="2" state="visible" r:id="rId2"/>
    <sheet name="Hypothèses" sheetId="3" state="visible" r:id="rId3"/>
    <sheet name="Pilotage" sheetId="4" state="visible" r:id="rId4"/>
    <sheet name="Meta - Annonces" sheetId="5" state="visible" r:id="rId5"/>
    <sheet name="Google - Annonces" sheetId="6" state="visible" r:id="rId6"/>
    <sheet name="Mots-clés" sheetId="7" state="visible" r:id="rId7"/>
    <sheet name="Exclusions" sheetId="8" state="visible" r:id="rId8"/>
  </sheets>
  <definedNames/>
  <calcPr calcId="124519" fullCalcOnLoad="1"/>
</workbook>
</file>

<file path=xl/styles.xml><?xml version="1.0" encoding="utf-8"?>
<styleSheet xmlns="http://schemas.openxmlformats.org/spreadsheetml/2006/main">
  <numFmts count="6">
    <numFmt numFmtId="164" formatCode="#,##0 &quot;€&quot;"/>
    <numFmt numFmtId="165" formatCode="yyyy-mm-dd"/>
    <numFmt numFmtId="166" formatCode="dd/mm/yyyy"/>
    <numFmt numFmtId="167" formatCode="0.00 &quot;€&quot;"/>
    <numFmt numFmtId="168" formatCode="0.0%"/>
    <numFmt numFmtId="169" formatCode="0 &quot;€&quot;"/>
  </numFmts>
  <fonts count="11">
    <font>
      <name val="Calibri"/>
      <family val="2"/>
      <color theme="1"/>
      <sz val="11"/>
      <scheme val="minor"/>
    </font>
    <font>
      <name val="Arial"/>
      <b val="1"/>
      <color rgb="002A1F6B"/>
      <sz val="16"/>
    </font>
    <font>
      <name val="Arial"/>
      <i val="1"/>
      <color rgb="006B4FE0"/>
      <sz val="10"/>
    </font>
    <font>
      <name val="Arial"/>
      <b val="1"/>
      <color rgb="00FFFFFF"/>
      <sz val="11"/>
    </font>
    <font>
      <name val="Arial"/>
      <b val="1"/>
      <sz val="10"/>
    </font>
    <font>
      <name val="Arial"/>
      <sz val="10"/>
    </font>
    <font>
      <name val="Arial"/>
      <color rgb="000000FF"/>
      <sz val="10"/>
    </font>
    <font>
      <name val="Arial"/>
      <i val="1"/>
      <color rgb="00AA0000"/>
      <sz val="10"/>
    </font>
    <font>
      <name val="Arial"/>
      <b val="1"/>
      <color rgb="006B4FE0"/>
    </font>
    <font>
      <name val="Arial"/>
      <i val="1"/>
      <sz val="9"/>
    </font>
    <font>
      <name val="Arial"/>
      <i val="1"/>
      <color rgb="00AA0000"/>
      <sz val="9"/>
    </font>
  </fonts>
  <fills count="5">
    <fill>
      <patternFill/>
    </fill>
    <fill>
      <patternFill patternType="gray125"/>
    </fill>
    <fill>
      <patternFill patternType="solid">
        <fgColor rgb="002A1F6B"/>
      </patternFill>
    </fill>
    <fill>
      <patternFill patternType="solid">
        <fgColor rgb="00FFF6C8"/>
      </patternFill>
    </fill>
    <fill>
      <patternFill patternType="solid">
        <fgColor rgb="00F1EEFC"/>
      </patternFill>
    </fill>
  </fills>
  <borders count="2">
    <border>
      <left/>
      <right/>
      <top/>
      <bottom/>
      <diagonal/>
    </border>
    <border>
      <left style="thin">
        <color rgb="00D5D0EE"/>
      </left>
      <right style="thin">
        <color rgb="00D5D0EE"/>
      </right>
      <top style="thin">
        <color rgb="00D5D0EE"/>
      </top>
      <bottom style="thin">
        <color rgb="00D5D0EE"/>
      </bottom>
    </border>
  </borders>
  <cellStyleXfs count="1">
    <xf numFmtId="0" fontId="0" fillId="0" borderId="0"/>
  </cellStyleXfs>
  <cellXfs count="4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4" fillId="0" borderId="0" pivotButton="0" quotePrefix="0" xfId="0"/>
    <xf numFmtId="0" fontId="6" fillId="3" borderId="0" pivotButton="0" quotePrefix="0" xfId="0"/>
    <xf numFmtId="0" fontId="5" fillId="0" borderId="0" pivotButton="0" quotePrefix="0" xfId="0"/>
    <xf numFmtId="0" fontId="7" fillId="0" borderId="0" pivotButton="0" quotePrefix="0" xfId="0"/>
    <xf numFmtId="0" fontId="3" fillId="2" borderId="1" applyAlignment="1" pivotButton="0" quotePrefix="0" xfId="0">
      <alignment vertical="center" wrapText="1"/>
    </xf>
    <xf numFmtId="0" fontId="6" fillId="3" borderId="1" pivotButton="0" quotePrefix="0" xfId="0"/>
    <xf numFmtId="9" fontId="4" fillId="0" borderId="0" pivotButton="0" quotePrefix="0" xfId="0"/>
    <xf numFmtId="164" fontId="6" fillId="3" borderId="1" applyAlignment="1" pivotButton="0" quotePrefix="0" xfId="0">
      <alignment vertical="top" wrapText="1"/>
    </xf>
    <xf numFmtId="0" fontId="6" fillId="3" borderId="1" applyAlignment="1" pivotButton="0" quotePrefix="0" xfId="0">
      <alignment vertical="top" wrapText="1"/>
    </xf>
    <xf numFmtId="9" fontId="6" fillId="3" borderId="1" applyAlignment="1" pivotButton="0" quotePrefix="0" xfId="0">
      <alignment vertical="top" wrapText="1"/>
    </xf>
    <xf numFmtId="0" fontId="8" fillId="0" borderId="0" pivotButton="0" quotePrefix="0" xfId="0"/>
    <xf numFmtId="164" fontId="4" fillId="4" borderId="1" applyAlignment="1" pivotButton="0" quotePrefix="0" xfId="0">
      <alignment vertical="top" wrapText="1"/>
    </xf>
    <xf numFmtId="166" fontId="5" fillId="0" borderId="1" pivotButton="0" quotePrefix="0" xfId="0"/>
    <xf numFmtId="0" fontId="5" fillId="0" borderId="1" pivotButton="0" quotePrefix="0" xfId="0"/>
    <xf numFmtId="164" fontId="6" fillId="3" borderId="1" pivotButton="0" quotePrefix="0" xfId="0"/>
    <xf numFmtId="3" fontId="6" fillId="3" borderId="1" pivotButton="0" quotePrefix="0" xfId="0"/>
    <xf numFmtId="167" fontId="5" fillId="0" borderId="1" pivotButton="0" quotePrefix="0" xfId="0"/>
    <xf numFmtId="168" fontId="5" fillId="0" borderId="1" pivotButton="0" quotePrefix="0" xfId="0"/>
    <xf numFmtId="10" fontId="5" fillId="0" borderId="1" pivotButton="0" quotePrefix="0" xfId="0"/>
    <xf numFmtId="169" fontId="5" fillId="0" borderId="1" pivotButton="0" quotePrefix="0" xfId="0"/>
    <xf numFmtId="0" fontId="4" fillId="0" borderId="1" pivotButton="0" quotePrefix="0" xfId="0"/>
    <xf numFmtId="164" fontId="4" fillId="4" borderId="1" pivotButton="0" quotePrefix="0" xfId="0"/>
    <xf numFmtId="3" fontId="4" fillId="4" borderId="1" pivotButton="0" quotePrefix="0" xfId="0"/>
    <xf numFmtId="0" fontId="0" fillId="0" borderId="1" pivotButton="0" quotePrefix="0" xfId="0"/>
    <xf numFmtId="168" fontId="0" fillId="0" borderId="1" pivotButton="0" quotePrefix="0" xfId="0"/>
    <xf numFmtId="167" fontId="0" fillId="0" borderId="1" pivotButton="0" quotePrefix="0" xfId="0"/>
    <xf numFmtId="169" fontId="0" fillId="0" borderId="1" pivotButton="0" quotePrefix="0" xfId="0"/>
    <xf numFmtId="168" fontId="4" fillId="0" borderId="0" pivotButton="0" quotePrefix="0" xfId="0"/>
    <xf numFmtId="0" fontId="9" fillId="0" borderId="0" pivotButton="0" quotePrefix="0" xfId="0"/>
    <xf numFmtId="0" fontId="5" fillId="0" borderId="0" applyAlignment="1" pivotButton="0" quotePrefix="0" xfId="0">
      <alignment vertical="top" wrapText="1"/>
    </xf>
    <xf numFmtId="0" fontId="3" fillId="2" borderId="1" pivotButton="0" quotePrefix="0" xfId="0"/>
    <xf numFmtId="0" fontId="10" fillId="0" borderId="0" pivotButton="0" quotePrefix="0" xfId="0"/>
    <xf numFmtId="167" fontId="6" fillId="3" borderId="1" pivotButton="0" quotePrefix="0" xfId="0"/>
    <xf numFmtId="0" fontId="9" fillId="0" borderId="0" applyAlignment="1" pivotButton="0" quotePrefix="0" xfId="0">
      <alignment vertical="top" wrapText="1"/>
    </xf>
  </cellXfs>
  <cellStyles count="1">
    <cellStyle name="Normal" xfId="0" builtinId="0" hidden="0"/>
  </cellStyles>
  <dxfs count="4">
    <dxf>
      <font>
        <name val="Arial"/>
        <b val="1"/>
        <color rgb="000B6E63"/>
      </font>
      <fill>
        <patternFill patternType="solid">
          <fgColor rgb="00CDEFE9"/>
        </patternFill>
      </fill>
    </dxf>
    <dxf>
      <font>
        <name val="Arial"/>
        <b val="1"/>
        <color rgb="00C00000"/>
      </font>
    </dxf>
    <dxf>
      <fill>
        <patternFill patternType="solid">
          <fgColor rgb="00FBD5D5"/>
        </patternFill>
      </fill>
    </dxf>
    <dxf>
      <fill>
        <patternFill patternType="solid">
          <fgColor rgb="00CDEFE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omments/comment1.xml><?xml version="1.0" encoding="utf-8"?>
<comments xmlns="http://schemas.openxmlformats.org/spreadsheetml/2006/main">
  <authors>
    <author>LIMO</author>
  </authors>
  <commentList>
    <comment ref="A4" authorId="0" shapeId="0">
      <text>
        <t>Lignes 4-5 = EXEMPLE de saisie (chiffres fictifs). Remplace-les par tes vrais chiffres.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C17"/>
  <sheetViews>
    <sheetView showGridLines="0" workbookViewId="0">
      <selection activeCell="A1" sqref="A1"/>
    </sheetView>
  </sheetViews>
  <sheetFormatPr baseColWidth="8" defaultRowHeight="15"/>
  <cols>
    <col width="24" customWidth="1" min="1" max="1"/>
    <col width="70" customWidth="1" min="2" max="2"/>
    <col width="40" customWidth="1" min="3" max="3"/>
  </cols>
  <sheetData>
    <row r="1">
      <c r="A1" s="1" t="inlineStr">
        <is>
          <t>KIT PUB LIMO — Meta Ads + Google Ads</t>
        </is>
      </c>
    </row>
    <row r="2">
      <c r="A2" s="2" t="inlineStr">
        <is>
          <t>Le bras droit du conseiller immo · Essai 14 jours sans CB · Dès 49 €/mois</t>
        </is>
      </c>
    </row>
    <row r="4">
      <c r="A4" s="3" t="inlineStr">
        <is>
          <t>Onglet</t>
        </is>
      </c>
      <c r="B4" s="3" t="inlineStr">
        <is>
          <t>À quoi il sert</t>
        </is>
      </c>
      <c r="C4" s="3" t="inlineStr">
        <is>
          <t>Quand l'utiliser</t>
        </is>
      </c>
    </row>
    <row r="5">
      <c r="A5" s="4" t="inlineStr">
        <is>
          <t>Checklist</t>
        </is>
      </c>
      <c r="B5" s="5" t="inlineStr">
        <is>
          <t>Tout ce qu'il faut installer AVANT de dépenser 1 €</t>
        </is>
      </c>
      <c r="C5" s="5" t="inlineStr">
        <is>
          <t>Jour 1, une seule fois</t>
        </is>
      </c>
    </row>
    <row r="6">
      <c r="A6" s="4" t="inlineStr">
        <is>
          <t>Hypothèses</t>
        </is>
      </c>
      <c r="B6" s="5" t="inlineStr">
        <is>
          <t>Ton prix, ta rétention, ton taux essai→payant → calcule ton coût max par essai</t>
        </is>
      </c>
      <c r="C6" s="5" t="inlineStr">
        <is>
          <t>Jour 1, puis chaque mois avec tes vrais chiffres</t>
        </is>
      </c>
    </row>
    <row r="7">
      <c r="A7" s="4" t="inlineStr">
        <is>
          <t>Pilotage</t>
        </is>
      </c>
      <c r="B7" s="5" t="inlineStr">
        <is>
          <t>Tableau hebdo : tu tapes 8 chiffres par canal, il calcule tout et te dit quoi faire</t>
        </is>
      </c>
      <c r="C7" s="5" t="inlineStr">
        <is>
          <t>Chaque lundi, 10 min</t>
        </is>
      </c>
    </row>
    <row r="8">
      <c r="A8" s="4" t="inlineStr">
        <is>
          <t>Meta - Annonces</t>
        </is>
      </c>
      <c r="B8" s="5" t="inlineStr">
        <is>
          <t>Textes prêts à coller pour chaque vidéo + lien avec UTM</t>
        </is>
      </c>
      <c r="C8" s="5" t="inlineStr">
        <is>
          <t>À la création des pubs</t>
        </is>
      </c>
    </row>
    <row r="9">
      <c r="A9" s="4" t="inlineStr">
        <is>
          <t>Google - Annonces</t>
        </is>
      </c>
      <c r="B9" s="5" t="inlineStr">
        <is>
          <t>15 titres + 4 descriptions + extensions (longueurs vérifiées)</t>
        </is>
      </c>
      <c r="C9" s="5" t="inlineStr">
        <is>
          <t>À la création de la campagne Search</t>
        </is>
      </c>
    </row>
    <row r="10">
      <c r="A10" s="4" t="inlineStr">
        <is>
          <t>Mots-clés</t>
        </is>
      </c>
      <c r="B10" s="5" t="inlineStr">
        <is>
          <t>Mots-clés par groupe d'annonces + CPC max de départ</t>
        </is>
      </c>
      <c r="C10" s="5" t="inlineStr">
        <is>
          <t>Création campagne, puis revue hebdo</t>
        </is>
      </c>
    </row>
    <row r="11">
      <c r="A11" s="4" t="inlineStr">
        <is>
          <t>Exclusions</t>
        </is>
      </c>
      <c r="B11" s="5" t="inlineStr">
        <is>
          <t>Mots-clés négatifs à ajouter dès le départ</t>
        </is>
      </c>
      <c r="C11" s="5" t="inlineStr">
        <is>
          <t>Création campagne</t>
        </is>
      </c>
    </row>
    <row r="13">
      <c r="A13" s="6" t="inlineStr">
        <is>
          <t>Légende des couleurs</t>
        </is>
      </c>
    </row>
    <row r="14">
      <c r="A14" s="7" t="inlineStr">
        <is>
          <t>Texte bleu sur fond jaune</t>
        </is>
      </c>
      <c r="B14" s="8">
        <f> cellule à remplir par toi (chiffres de tes comptes pub / de l'app)</f>
        <v/>
      </c>
    </row>
    <row r="15">
      <c r="A15" s="8" t="inlineStr">
        <is>
          <t>Texte noir</t>
        </is>
      </c>
      <c r="B15" s="8">
        <f> formule calculée automatiquement, ne pas toucher</f>
        <v/>
      </c>
    </row>
    <row r="17">
      <c r="A17" s="9" t="inlineStr">
        <is>
          <t>Les chiffres de départ (prix, rétention, taux) sont des hypothèses à remplacer par tes vrais chiffres dès que tu les 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6"/>
  <sheetViews>
    <sheetView showGridLines="0" workbookViewId="0">
      <pane ySplit="3" topLeftCell="A4" activePane="bottomLeft" state="frozen"/>
      <selection pane="bottomLeft" activeCell="A1" sqref="A1"/>
    </sheetView>
  </sheetViews>
  <sheetFormatPr baseColWidth="8" defaultRowHeight="15"/>
  <cols>
    <col width="5" customWidth="1" min="1" max="1"/>
    <col width="16" customWidth="1" min="2" max="2"/>
    <col width="80" customWidth="1" min="3" max="3"/>
    <col width="50" customWidth="1" min="4" max="4"/>
    <col width="14" customWidth="1" min="5" max="5"/>
  </cols>
  <sheetData>
    <row r="1">
      <c r="A1" s="1" t="inlineStr">
        <is>
          <t>Checklist d'installation — à faire avant de lancer</t>
        </is>
      </c>
    </row>
    <row r="3" ht="32" customHeight="1">
      <c r="A3" s="10" t="inlineStr">
        <is>
          <t>#</t>
        </is>
      </c>
      <c r="B3" s="10" t="inlineStr">
        <is>
          <t>Domaine</t>
        </is>
      </c>
      <c r="C3" s="10" t="inlineStr">
        <is>
          <t>Étape (où / comment)</t>
        </is>
      </c>
      <c r="D3" s="10" t="inlineStr">
        <is>
          <t>Pourquoi</t>
        </is>
      </c>
      <c r="E3" s="10" t="inlineStr">
        <is>
          <t>Statut</t>
        </is>
      </c>
    </row>
    <row r="4">
      <c r="A4" s="5" t="n">
        <v>1</v>
      </c>
      <c r="B4" s="5" t="inlineStr">
        <is>
          <t>Landing page</t>
        </is>
      </c>
      <c r="C4" s="5" t="inlineStr">
        <is>
          <t>Remplacer toute mention « 1 mois » par « 14 jours, sans carte bancaire » (titre, bouton, FAQ)</t>
        </is>
      </c>
      <c r="D4" s="5" t="inlineStr">
        <is>
          <t>Même promesse pub = page, sinon conversion en chute et refus Meta possible</t>
        </is>
      </c>
      <c r="E4" s="11" t="inlineStr">
        <is>
          <t>À faire</t>
        </is>
      </c>
    </row>
    <row r="5">
      <c r="A5" s="5" t="n">
        <v>2</v>
      </c>
      <c r="B5" s="5" t="inlineStr">
        <is>
          <t>Landing page</t>
        </is>
      </c>
      <c r="C5" s="5" t="inlineStr">
        <is>
          <t>Bouton « Réserver une démo de 15 min » visible + formulaire d'essai en moins de 3 champs</t>
        </is>
      </c>
      <c r="D5" s="5" t="inlineStr">
        <is>
          <t>Chaque champ en plus fait perdre des inscrits</t>
        </is>
      </c>
      <c r="E5" s="11" t="inlineStr">
        <is>
          <t>À faire</t>
        </is>
      </c>
    </row>
    <row r="6">
      <c r="A6" s="5" t="n">
        <v>3</v>
      </c>
      <c r="B6" s="5" t="inlineStr">
        <is>
          <t>Landing page</t>
        </is>
      </c>
      <c r="C6" s="5" t="inlineStr">
        <is>
          <t>Mentions légales, politique de confidentialité et CGV accessibles en bas de page</t>
        </is>
      </c>
      <c r="D6" s="5" t="inlineStr">
        <is>
          <t>Obligatoire + vérifié par Meta et Google</t>
        </is>
      </c>
      <c r="E6" s="11" t="inlineStr">
        <is>
          <t>À faire</t>
        </is>
      </c>
    </row>
    <row r="7">
      <c r="A7" s="5" t="n">
        <v>4</v>
      </c>
      <c r="B7" s="5" t="inlineStr">
        <is>
          <t>Cookies</t>
        </is>
      </c>
      <c r="C7" s="5" t="inlineStr">
        <is>
          <t>Bandeau de consentement compatible Consent Mode v2 (ex. Axeptio, Didomi, Cookiebot)</t>
        </is>
      </c>
      <c r="D7" s="5" t="inlineStr">
        <is>
          <t>Obligatoire en Europe (RGPD/CNIL) ; sans lui Google limite le suivi</t>
        </is>
      </c>
      <c r="E7" s="11" t="inlineStr">
        <is>
          <t>À faire</t>
        </is>
      </c>
    </row>
    <row r="8">
      <c r="A8" s="5" t="n">
        <v>5</v>
      </c>
      <c r="B8" s="5" t="inlineStr">
        <is>
          <t>Meta</t>
        </is>
      </c>
      <c r="C8" s="5" t="inlineStr">
        <is>
          <t>Créer le Business Manager (business.facebook.com), y rattacher la Page LIMO + le compte Instagram</t>
        </is>
      </c>
      <c r="D8" s="5" t="inlineStr">
        <is>
          <t>Base de tout</t>
        </is>
      </c>
      <c r="E8" s="11" t="inlineStr">
        <is>
          <t>À faire</t>
        </is>
      </c>
    </row>
    <row r="9">
      <c r="A9" s="5" t="n">
        <v>6</v>
      </c>
      <c r="B9" s="5" t="inlineStr">
        <is>
          <t>Meta</t>
        </is>
      </c>
      <c r="C9" s="5" t="inlineStr">
        <is>
          <t>Activer la double authentification sur ton compte et le Business Manager</t>
        </is>
      </c>
      <c r="D9" s="5" t="inlineStr">
        <is>
          <t>Évite le piratage du compte pub (fréquent)</t>
        </is>
      </c>
      <c r="E9" s="11" t="inlineStr">
        <is>
          <t>À faire</t>
        </is>
      </c>
    </row>
    <row r="10">
      <c r="A10" s="5" t="n">
        <v>7</v>
      </c>
      <c r="B10" s="5" t="inlineStr">
        <is>
          <t>Meta</t>
        </is>
      </c>
      <c r="C10" s="5" t="inlineStr">
        <is>
          <t>Créer le compte publicitaire, devise EUR, fuseau Europe/Paris, moyen de paiement</t>
        </is>
      </c>
      <c r="D10" s="5" t="inlineStr">
        <is>
          <t>Fuseau et devise ne se changent plus ensuite</t>
        </is>
      </c>
      <c r="E10" s="11" t="inlineStr">
        <is>
          <t>À faire</t>
        </is>
      </c>
    </row>
    <row r="11">
      <c r="A11" s="5" t="n">
        <v>8</v>
      </c>
      <c r="B11" s="5" t="inlineStr">
        <is>
          <t>Meta</t>
        </is>
      </c>
      <c r="C11" s="5" t="inlineStr">
        <is>
          <t>Vérifier le domaine leadengineai.fr (Paramètres de l'entreprise → Sécurité de la marque → Domaines)</t>
        </is>
      </c>
      <c r="D11" s="5" t="inlineStr">
        <is>
          <t>Nécessaire pour configurer les conversions</t>
        </is>
      </c>
      <c r="E11" s="11" t="inlineStr">
        <is>
          <t>À faire</t>
        </is>
      </c>
    </row>
    <row r="12">
      <c r="A12" s="5" t="n">
        <v>9</v>
      </c>
      <c r="B12" s="5" t="inlineStr">
        <is>
          <t>Meta</t>
        </is>
      </c>
      <c r="C12" s="5" t="inlineStr">
        <is>
          <t>Installer le Pixel Meta sur app.leadengineai.fr (toutes les pages)</t>
        </is>
      </c>
      <c r="D12" s="5" t="inlineStr">
        <is>
          <t>Mesure les visites et conversions</t>
        </is>
      </c>
      <c r="E12" s="11" t="inlineStr">
        <is>
          <t>À faire</t>
        </is>
      </c>
    </row>
    <row r="13">
      <c r="A13" s="5" t="n">
        <v>10</v>
      </c>
      <c r="B13" s="5" t="inlineStr">
        <is>
          <t>Meta</t>
        </is>
      </c>
      <c r="C13" s="5" t="inlineStr">
        <is>
          <t>Activer la Conversions API (via Gestionnaire d'événements, intégration partenaire ou serveur)</t>
        </is>
      </c>
      <c r="D13" s="5" t="inlineStr">
        <is>
          <t>Récupère les conversions perdues (iPhone, bloqueurs)</t>
        </is>
      </c>
      <c r="E13" s="11" t="inlineStr">
        <is>
          <t>À faire</t>
        </is>
      </c>
    </row>
    <row r="14">
      <c r="A14" s="5" t="n">
        <v>11</v>
      </c>
      <c r="B14" s="5" t="inlineStr">
        <is>
          <t>Meta</t>
        </is>
      </c>
      <c r="C14" s="5" t="inlineStr">
        <is>
          <t>Événements : Lead (démo réservée), CompleteRegistration (essai démarré), Subscribe (passage payant)</t>
        </is>
      </c>
      <c r="D14" s="5" t="inlineStr">
        <is>
          <t>C'est ce que l'algorithme va optimiser</t>
        </is>
      </c>
      <c r="E14" s="11" t="inlineStr">
        <is>
          <t>À faire</t>
        </is>
      </c>
    </row>
    <row r="15">
      <c r="A15" s="5" t="n">
        <v>12</v>
      </c>
      <c r="B15" s="5" t="inlineStr">
        <is>
          <t>Meta</t>
        </is>
      </c>
      <c r="C15" s="5" t="inlineStr">
        <is>
          <t>Tester les événements avec l'outil « Tester les événements » du Gestionnaire d'événements</t>
        </is>
      </c>
      <c r="D15" s="5" t="inlineStr">
        <is>
          <t>Ne jamais lancer sans voir les événements remonter</t>
        </is>
      </c>
      <c r="E15" s="11" t="inlineStr">
        <is>
          <t>À faire</t>
        </is>
      </c>
    </row>
    <row r="16">
      <c r="A16" s="5" t="n">
        <v>13</v>
      </c>
      <c r="B16" s="5" t="inlineStr">
        <is>
          <t>Google</t>
        </is>
      </c>
      <c r="C16" s="5" t="inlineStr">
        <is>
          <t>Créer le compte Google Ads (mode Expert, pas le mode simplifié) + facturation</t>
        </is>
      </c>
      <c r="D16" s="5" t="inlineStr">
        <is>
          <t>Le mode simplifié lance des campagnes automatiques coûteuses</t>
        </is>
      </c>
      <c r="E16" s="11" t="inlineStr">
        <is>
          <t>À faire</t>
        </is>
      </c>
    </row>
    <row r="17">
      <c r="A17" s="5" t="n">
        <v>14</v>
      </c>
      <c r="B17" s="5" t="inlineStr">
        <is>
          <t>Google</t>
        </is>
      </c>
      <c r="C17" s="5" t="inlineStr">
        <is>
          <t>Installer la balise Google (GA4) sur app.leadengineai.fr et lier GA4 ↔ Google Ads</t>
        </is>
      </c>
      <c r="D17" s="5" t="inlineStr">
        <is>
          <t>Mesure et audiences</t>
        </is>
      </c>
      <c r="E17" s="11" t="inlineStr">
        <is>
          <t>À faire</t>
        </is>
      </c>
    </row>
    <row r="18">
      <c r="A18" s="5" t="n">
        <v>15</v>
      </c>
      <c r="B18" s="5" t="inlineStr">
        <is>
          <t>Google</t>
        </is>
      </c>
      <c r="C18" s="5" t="inlineStr">
        <is>
          <t>Créer les conversions : essai démarré (principale), démo réservée (principale), passage payant (secondaire au début)</t>
        </is>
      </c>
      <c r="D18" s="5" t="inlineStr">
        <is>
          <t>Pour que Google optimise sur les essais</t>
        </is>
      </c>
      <c r="E18" s="11" t="inlineStr">
        <is>
          <t>À faire</t>
        </is>
      </c>
    </row>
    <row r="19">
      <c r="A19" s="5" t="n">
        <v>16</v>
      </c>
      <c r="B19" s="5" t="inlineStr">
        <is>
          <t>Google</t>
        </is>
      </c>
      <c r="C19" s="5" t="inlineStr">
        <is>
          <t>Activer les conversions améliorées (e-mail haché au moment de l'inscription)</t>
        </is>
      </c>
      <c r="D19" s="5" t="inlineStr">
        <is>
          <t>Meilleure attribution</t>
        </is>
      </c>
      <c r="E19" s="11" t="inlineStr">
        <is>
          <t>À faire</t>
        </is>
      </c>
    </row>
    <row r="20">
      <c r="A20" s="5" t="n">
        <v>17</v>
      </c>
      <c r="B20" s="5" t="inlineStr">
        <is>
          <t>Google</t>
        </is>
      </c>
      <c r="C20" s="5" t="inlineStr">
        <is>
          <t>Vérifier le Consent Mode v2 avec Tag Assistant</t>
        </is>
      </c>
      <c r="D20" s="5" t="inlineStr">
        <is>
          <t>Sans ça, perte de données en Europe</t>
        </is>
      </c>
      <c r="E20" s="11" t="inlineStr">
        <is>
          <t>À faire</t>
        </is>
      </c>
    </row>
    <row r="21">
      <c r="A21" s="5" t="n">
        <v>18</v>
      </c>
      <c r="B21" s="5" t="inlineStr">
        <is>
          <t>Suivi</t>
        </is>
      </c>
      <c r="C21" s="5" t="inlineStr">
        <is>
          <t>Utiliser les liens avec UTM de l'onglet « Meta - Annonces » pour chaque pub</t>
        </is>
      </c>
      <c r="D21" s="5" t="inlineStr">
        <is>
          <t>Savoir quelle pub amène des clients payants</t>
        </is>
      </c>
      <c r="E21" s="11" t="inlineStr">
        <is>
          <t>À faire</t>
        </is>
      </c>
    </row>
    <row r="22">
      <c r="A22" s="5" t="n">
        <v>19</v>
      </c>
      <c r="B22" s="5" t="inlineStr">
        <is>
          <t>Suivi</t>
        </is>
      </c>
      <c r="C22" s="5" t="inlineStr">
        <is>
          <t>Dans l'app : noter la source UTM de chaque inscrit (champ caché du formulaire)</t>
        </is>
      </c>
      <c r="D22" s="5" t="inlineStr">
        <is>
          <t>Relier dépense pub et clients payants</t>
        </is>
      </c>
      <c r="E22" s="11" t="inlineStr">
        <is>
          <t>À faire</t>
        </is>
      </c>
    </row>
    <row r="23">
      <c r="A23" s="5" t="n">
        <v>20</v>
      </c>
      <c r="B23" s="5" t="inlineStr">
        <is>
          <t>Conformité</t>
        </is>
      </c>
      <c r="C23" s="5" t="inlineStr">
        <is>
          <t>Pas de promesse chiffrée non prouvée (ex. « +30 % de mandats ») ; données d'exemple = fictives</t>
        </is>
      </c>
      <c r="D23" s="5" t="inlineStr">
        <is>
          <t>Règles Meta/Google sur les allégations + droit de la conso</t>
        </is>
      </c>
      <c r="E23" s="11" t="inlineStr">
        <is>
          <t>À faire</t>
        </is>
      </c>
    </row>
    <row r="24">
      <c r="A24" s="5" t="n">
        <v>21</v>
      </c>
      <c r="B24" s="5" t="inlineStr">
        <is>
          <t>Conformité</t>
        </is>
      </c>
      <c r="C24" s="5" t="inlineStr">
        <is>
          <t>Photos de clients (film signatures) : accord écrit des personnes, même floutées</t>
        </is>
      </c>
      <c r="D24" s="5" t="inlineStr">
        <is>
          <t>Droit à l'image</t>
        </is>
      </c>
      <c r="E24" s="11" t="inlineStr">
        <is>
          <t>À faire</t>
        </is>
      </c>
    </row>
    <row r="26">
      <c r="B26" s="6" t="inlineStr">
        <is>
          <t>Avancement</t>
        </is>
      </c>
      <c r="C26" s="12">
        <f>COUNTIF(E4:E24,"Fait")/COUNTA(E4:E24)</f>
        <v/>
      </c>
    </row>
  </sheetData>
  <conditionalFormatting sqref="E4:E24">
    <cfRule type="cellIs" priority="1" operator="equal" dxfId="0">
      <formula>"Fait"</formula>
    </cfRule>
  </conditionalFormatting>
  <dataValidations count="1">
    <dataValidation sqref="E4:E24" showDropDown="0" showInputMessage="0" showErrorMessage="0" allowBlank="0" type="list">
      <formula1>"À faire,En cours,Fait"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
  <sheetViews>
    <sheetView showGridLines="0" workbookViewId="0">
      <selection activeCell="A1" sqref="A1"/>
    </sheetView>
  </sheetViews>
  <sheetFormatPr baseColWidth="8" defaultRowHeight="15"/>
  <cols>
    <col width="46" customWidth="1" min="1" max="1"/>
    <col width="16" customWidth="1" min="2" max="2"/>
    <col width="70" customWidth="1" min="3" max="3"/>
  </cols>
  <sheetData>
    <row r="1">
      <c r="A1" s="1" t="inlineStr">
        <is>
          <t>Hypothèses économiques</t>
        </is>
      </c>
    </row>
    <row r="3" ht="32" customHeight="1">
      <c r="A3" s="10" t="inlineStr">
        <is>
          <t>Paramètre</t>
        </is>
      </c>
      <c r="B3" s="10" t="inlineStr">
        <is>
          <t>Valeur</t>
        </is>
      </c>
      <c r="C3" s="10" t="inlineStr">
        <is>
          <t>Note</t>
        </is>
      </c>
    </row>
    <row r="4">
      <c r="A4" s="5" t="inlineStr">
        <is>
          <t>Prix de l'abonnement (€/mois)</t>
        </is>
      </c>
      <c r="B4" s="13" t="n">
        <v>49</v>
      </c>
      <c r="C4" s="5" t="inlineStr">
        <is>
          <t>Prix d'entrée LIMO (« dès 49 €/mois »). Source : Thomy.</t>
        </is>
      </c>
    </row>
    <row r="5">
      <c r="A5" s="5" t="inlineStr">
        <is>
          <t>Durée moyenne d'abonnement (mois)</t>
        </is>
      </c>
      <c r="B5" s="14" t="n">
        <v>12</v>
      </c>
      <c r="C5" s="5" t="inlineStr">
        <is>
          <t>HYPOTHÈSE — à remplacer par ta rétention réelle après 3-6 mois.</t>
        </is>
      </c>
    </row>
    <row r="6">
      <c r="A6" s="5" t="inlineStr">
        <is>
          <t>Taux essai → payant</t>
        </is>
      </c>
      <c r="B6" s="15" t="n">
        <v>0.25</v>
      </c>
      <c r="C6" s="5" t="inlineStr">
        <is>
          <t>HYPOTHÈSE — à remplacer par ton taux réel (onglet Pilotage).</t>
        </is>
      </c>
    </row>
    <row r="7">
      <c r="A7" s="5" t="inlineStr">
        <is>
          <t>Mois d'abonnement acceptés pour payer l'acquisition</t>
        </is>
      </c>
      <c r="B7" s="14" t="n">
        <v>3</v>
      </c>
      <c r="C7" s="5" t="inlineStr">
        <is>
          <t>Règle de prudence : on récupère sa dépense pub en 3 mois.</t>
        </is>
      </c>
    </row>
    <row r="8">
      <c r="A8" s="16" t="inlineStr">
        <is>
          <t>Résultats calculés</t>
        </is>
      </c>
    </row>
    <row r="9">
      <c r="A9" s="4" t="inlineStr">
        <is>
          <t>Valeur d'un client (€)</t>
        </is>
      </c>
      <c r="B9" s="17">
        <f>B4*B5</f>
        <v/>
      </c>
      <c r="C9" s="5" t="inlineStr">
        <is>
          <t>Prix × durée moyenne</t>
        </is>
      </c>
    </row>
    <row r="10">
      <c r="A10" s="4" t="inlineStr">
        <is>
          <t>Coût d'acquisition max par client payant (€)</t>
        </is>
      </c>
      <c r="B10" s="17">
        <f>B4*B7</f>
        <v/>
      </c>
      <c r="C10" s="5" t="inlineStr">
        <is>
          <t>Ce que tu peux payer pour 1 client</t>
        </is>
      </c>
    </row>
    <row r="11">
      <c r="A11" s="4" t="inlineStr">
        <is>
          <t>Coût max par essai démarré (€)</t>
        </is>
      </c>
      <c r="B11" s="17">
        <f>B10*B6</f>
        <v/>
      </c>
      <c r="C11" s="5" t="inlineStr">
        <is>
          <t>KPI n°1 : à surveiller chaque semaine</t>
        </is>
      </c>
    </row>
    <row r="12">
      <c r="A12" s="4" t="inlineStr">
        <is>
          <t>Seuil « à couper » d'une pub sans essai (€ dépensés)</t>
        </is>
      </c>
      <c r="B12" s="17">
        <f>B11*2</f>
        <v/>
      </c>
      <c r="C12" s="5" t="inlineStr">
        <is>
          <t>Une pub qui a dépensé ça sans aucun essai → on l'arrête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36"/>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4" customWidth="1" min="1" max="1"/>
    <col width="10" customWidth="1" min="2" max="2"/>
    <col width="11" customWidth="1" min="3" max="3"/>
    <col width="12" customWidth="1" min="4" max="4"/>
    <col width="12" customWidth="1" min="5" max="5"/>
    <col width="10" customWidth="1" min="6" max="6"/>
    <col width="11" customWidth="1" min="7" max="7"/>
    <col width="11" customWidth="1" min="8" max="8"/>
    <col width="11" customWidth="1" min="9" max="9"/>
    <col width="9" customWidth="1" min="10" max="10"/>
    <col width="10" customWidth="1" min="11" max="11"/>
    <col width="8" customWidth="1" min="12" max="12"/>
    <col width="11" customWidth="1" min="13" max="13"/>
    <col width="11" customWidth="1" min="14" max="14"/>
    <col width="12" customWidth="1" min="15" max="15"/>
    <col width="12" customWidth="1" min="16" max="16"/>
    <col width="34" customWidth="1" min="17" max="17"/>
  </cols>
  <sheetData>
    <row r="1">
      <c r="A1" s="1" t="inlineStr">
        <is>
          <t>Pilotage hebdomadaire — remplis les colonnes jaunes chaque lundi</t>
        </is>
      </c>
    </row>
    <row r="3" ht="32" customHeight="1">
      <c r="A3" s="10" t="inlineStr">
        <is>
          <t>Semaine (lundi)</t>
        </is>
      </c>
      <c r="B3" s="10" t="inlineStr">
        <is>
          <t>Canal</t>
        </is>
      </c>
      <c r="C3" s="10" t="inlineStr">
        <is>
          <t>Dépense (€)</t>
        </is>
      </c>
      <c r="D3" s="10" t="inlineStr">
        <is>
          <t>Impressions</t>
        </is>
      </c>
      <c r="E3" s="10" t="inlineStr">
        <is>
          <t>Vues 3 s (Meta)</t>
        </is>
      </c>
      <c r="F3" s="10" t="inlineStr">
        <is>
          <t>Clics lien</t>
        </is>
      </c>
      <c r="G3" s="10" t="inlineStr">
        <is>
          <t>Essais démarrés</t>
        </is>
      </c>
      <c r="H3" s="10" t="inlineStr">
        <is>
          <t>Démos réservées</t>
        </is>
      </c>
      <c r="I3" s="10" t="inlineStr">
        <is>
          <t>Clients payants</t>
        </is>
      </c>
      <c r="J3" s="10" t="inlineStr">
        <is>
          <t>CPM (€)</t>
        </is>
      </c>
      <c r="K3" s="10" t="inlineStr">
        <is>
          <t>Taux de hook</t>
        </is>
      </c>
      <c r="L3" s="10" t="inlineStr">
        <is>
          <t>CTR</t>
        </is>
      </c>
      <c r="M3" s="10" t="inlineStr">
        <is>
          <t>Coût par clic (€)</t>
        </is>
      </c>
      <c r="N3" s="10" t="inlineStr">
        <is>
          <t>Taux clic → essai</t>
        </is>
      </c>
      <c r="O3" s="10" t="inlineStr">
        <is>
          <t>Coût par essai (€)</t>
        </is>
      </c>
      <c r="P3" s="10" t="inlineStr">
        <is>
          <t>Coût par client (€)</t>
        </is>
      </c>
      <c r="Q3" s="10" t="inlineStr">
        <is>
          <t>Verdict</t>
        </is>
      </c>
    </row>
    <row r="4">
      <c r="A4" s="18" t="n">
        <v>46300</v>
      </c>
      <c r="B4" s="19" t="inlineStr">
        <is>
          <t>Meta</t>
        </is>
      </c>
      <c r="C4" s="20" t="n">
        <v>175</v>
      </c>
      <c r="D4" s="21" t="n">
        <v>21000</v>
      </c>
      <c r="E4" s="21" t="n">
        <v>6300</v>
      </c>
      <c r="F4" s="21" t="n">
        <v>230</v>
      </c>
      <c r="G4" s="21" t="n">
        <v>6</v>
      </c>
      <c r="H4" s="21" t="n">
        <v>2</v>
      </c>
      <c r="I4" s="21" t="n">
        <v>1</v>
      </c>
      <c r="J4" s="22">
        <f>IF(D4&gt;0,C4/D4*1000,"")</f>
        <v/>
      </c>
      <c r="K4" s="23">
        <f>IF(AND(B4="Meta",D4&gt;0,E4&lt;&gt;""),E4/D4,"")</f>
        <v/>
      </c>
      <c r="L4" s="24">
        <f>IF(D4&gt;0,F4/D4,"")</f>
        <v/>
      </c>
      <c r="M4" s="22">
        <f>IF(F4&gt;0,C4/F4,"")</f>
        <v/>
      </c>
      <c r="N4" s="23">
        <f>IF(F4&gt;0,G4/F4,"")</f>
        <v/>
      </c>
      <c r="O4" s="22">
        <f>IF(G4&gt;0,C4/G4,"")</f>
        <v/>
      </c>
      <c r="P4" s="25">
        <f>IF(I4&gt;0,C4/I4,"")</f>
        <v/>
      </c>
      <c r="Q4" s="19">
        <f>IF(C4="","",IF(G4=0,IF(C4&gt;='Hypothèses'!$B$12,"🔴 Aucun essai : changer de visuel/angle","⏳ Trop tôt, laisser tourner"),IF(O4&lt;='Hypothèses'!$B$11*0.8,"🟢 Rentable : +20 % de budget",IF(O4&lt;='Hypothèses'!$B$11,"🟡 Correct : tester 2 nouveaux visuels","🔴 Trop cher : couper les pires pubs"))))</f>
        <v/>
      </c>
    </row>
    <row r="5">
      <c r="A5" s="18" t="n">
        <v>46300</v>
      </c>
      <c r="B5" s="19" t="inlineStr">
        <is>
          <t>Google</t>
        </is>
      </c>
      <c r="C5" s="20" t="n">
        <v>70</v>
      </c>
      <c r="D5" s="21" t="n">
        <v>1400</v>
      </c>
      <c r="E5" s="21" t="n"/>
      <c r="F5" s="21" t="n">
        <v>48</v>
      </c>
      <c r="G5" s="21" t="n">
        <v>3</v>
      </c>
      <c r="H5" s="21" t="n">
        <v>1</v>
      </c>
      <c r="I5" s="21" t="n">
        <v>0</v>
      </c>
      <c r="J5" s="22">
        <f>IF(D5&gt;0,C5/D5*1000,"")</f>
        <v/>
      </c>
      <c r="K5" s="23">
        <f>IF(AND(B5="Meta",D5&gt;0,E5&lt;&gt;""),E5/D5,"")</f>
        <v/>
      </c>
      <c r="L5" s="24">
        <f>IF(D5&gt;0,F5/D5,"")</f>
        <v/>
      </c>
      <c r="M5" s="22">
        <f>IF(F5&gt;0,C5/F5,"")</f>
        <v/>
      </c>
      <c r="N5" s="23">
        <f>IF(F5&gt;0,G5/F5,"")</f>
        <v/>
      </c>
      <c r="O5" s="22">
        <f>IF(G5&gt;0,C5/G5,"")</f>
        <v/>
      </c>
      <c r="P5" s="25">
        <f>IF(I5&gt;0,C5/I5,"")</f>
        <v/>
      </c>
      <c r="Q5" s="19">
        <f>IF(C5="","",IF(G5=0,IF(C5&gt;='Hypothèses'!$B$12,"🔴 Aucun essai : changer de visuel/angle","⏳ Trop tôt, laisser tourner"),IF(O5&lt;='Hypothèses'!$B$11*0.8,"🟢 Rentable : +20 % de budget",IF(O5&lt;='Hypothèses'!$B$11,"🟡 Correct : tester 2 nouveaux visuels","🔴 Trop cher : couper les pires pubs"))))</f>
        <v/>
      </c>
    </row>
    <row r="6">
      <c r="A6" s="18" t="n">
        <v>46307</v>
      </c>
      <c r="B6" s="19" t="inlineStr">
        <is>
          <t>Meta</t>
        </is>
      </c>
      <c r="C6" s="20" t="n"/>
      <c r="D6" s="21" t="n"/>
      <c r="E6" s="21" t="n"/>
      <c r="F6" s="21" t="n"/>
      <c r="G6" s="21" t="n"/>
      <c r="H6" s="21" t="n"/>
      <c r="I6" s="21" t="n"/>
      <c r="J6" s="22">
        <f>IF(D6&gt;0,C6/D6*1000,"")</f>
        <v/>
      </c>
      <c r="K6" s="23">
        <f>IF(AND(B6="Meta",D6&gt;0,E6&lt;&gt;""),E6/D6,"")</f>
        <v/>
      </c>
      <c r="L6" s="24">
        <f>IF(D6&gt;0,F6/D6,"")</f>
        <v/>
      </c>
      <c r="M6" s="22">
        <f>IF(F6&gt;0,C6/F6,"")</f>
        <v/>
      </c>
      <c r="N6" s="23">
        <f>IF(F6&gt;0,G6/F6,"")</f>
        <v/>
      </c>
      <c r="O6" s="22">
        <f>IF(G6&gt;0,C6/G6,"")</f>
        <v/>
      </c>
      <c r="P6" s="25">
        <f>IF(I6&gt;0,C6/I6,"")</f>
        <v/>
      </c>
      <c r="Q6" s="19">
        <f>IF(C6="","",IF(G6=0,IF(C6&gt;='Hypothèses'!$B$12,"🔴 Aucun essai : changer de visuel/angle","⏳ Trop tôt, laisser tourner"),IF(O6&lt;='Hypothèses'!$B$11*0.8,"🟢 Rentable : +20 % de budget",IF(O6&lt;='Hypothèses'!$B$11,"🟡 Correct : tester 2 nouveaux visuels","🔴 Trop cher : couper les pires pubs"))))</f>
        <v/>
      </c>
    </row>
    <row r="7">
      <c r="A7" s="18" t="n">
        <v>46307</v>
      </c>
      <c r="B7" s="19" t="inlineStr">
        <is>
          <t>Google</t>
        </is>
      </c>
      <c r="C7" s="20" t="n"/>
      <c r="D7" s="21" t="n"/>
      <c r="E7" s="21" t="n"/>
      <c r="F7" s="21" t="n"/>
      <c r="G7" s="21" t="n"/>
      <c r="H7" s="21" t="n"/>
      <c r="I7" s="21" t="n"/>
      <c r="J7" s="22">
        <f>IF(D7&gt;0,C7/D7*1000,"")</f>
        <v/>
      </c>
      <c r="K7" s="23">
        <f>IF(AND(B7="Meta",D7&gt;0,E7&lt;&gt;""),E7/D7,"")</f>
        <v/>
      </c>
      <c r="L7" s="24">
        <f>IF(D7&gt;0,F7/D7,"")</f>
        <v/>
      </c>
      <c r="M7" s="22">
        <f>IF(F7&gt;0,C7/F7,"")</f>
        <v/>
      </c>
      <c r="N7" s="23">
        <f>IF(F7&gt;0,G7/F7,"")</f>
        <v/>
      </c>
      <c r="O7" s="22">
        <f>IF(G7&gt;0,C7/G7,"")</f>
        <v/>
      </c>
      <c r="P7" s="25">
        <f>IF(I7&gt;0,C7/I7,"")</f>
        <v/>
      </c>
      <c r="Q7" s="19">
        <f>IF(C7="","",IF(G7=0,IF(C7&gt;='Hypothèses'!$B$12,"🔴 Aucun essai : changer de visuel/angle","⏳ Trop tôt, laisser tourner"),IF(O7&lt;='Hypothèses'!$B$11*0.8,"🟢 Rentable : +20 % de budget",IF(O7&lt;='Hypothèses'!$B$11,"🟡 Correct : tester 2 nouveaux visuels","🔴 Trop cher : couper les pires pubs"))))</f>
        <v/>
      </c>
    </row>
    <row r="8">
      <c r="A8" s="18" t="n">
        <v>46314</v>
      </c>
      <c r="B8" s="19" t="inlineStr">
        <is>
          <t>Meta</t>
        </is>
      </c>
      <c r="C8" s="20" t="n"/>
      <c r="D8" s="21" t="n"/>
      <c r="E8" s="21" t="n"/>
      <c r="F8" s="21" t="n"/>
      <c r="G8" s="21" t="n"/>
      <c r="H8" s="21" t="n"/>
      <c r="I8" s="21" t="n"/>
      <c r="J8" s="22">
        <f>IF(D8&gt;0,C8/D8*1000,"")</f>
        <v/>
      </c>
      <c r="K8" s="23">
        <f>IF(AND(B8="Meta",D8&gt;0,E8&lt;&gt;""),E8/D8,"")</f>
        <v/>
      </c>
      <c r="L8" s="24">
        <f>IF(D8&gt;0,F8/D8,"")</f>
        <v/>
      </c>
      <c r="M8" s="22">
        <f>IF(F8&gt;0,C8/F8,"")</f>
        <v/>
      </c>
      <c r="N8" s="23">
        <f>IF(F8&gt;0,G8/F8,"")</f>
        <v/>
      </c>
      <c r="O8" s="22">
        <f>IF(G8&gt;0,C8/G8,"")</f>
        <v/>
      </c>
      <c r="P8" s="25">
        <f>IF(I8&gt;0,C8/I8,"")</f>
        <v/>
      </c>
      <c r="Q8" s="19">
        <f>IF(C8="","",IF(G8=0,IF(C8&gt;='Hypothèses'!$B$12,"🔴 Aucun essai : changer de visuel/angle","⏳ Trop tôt, laisser tourner"),IF(O8&lt;='Hypothèses'!$B$11*0.8,"🟢 Rentable : +20 % de budget",IF(O8&lt;='Hypothèses'!$B$11,"🟡 Correct : tester 2 nouveaux visuels","🔴 Trop cher : couper les pires pubs"))))</f>
        <v/>
      </c>
    </row>
    <row r="9">
      <c r="A9" s="18" t="n">
        <v>46314</v>
      </c>
      <c r="B9" s="19" t="inlineStr">
        <is>
          <t>Google</t>
        </is>
      </c>
      <c r="C9" s="20" t="n"/>
      <c r="D9" s="21" t="n"/>
      <c r="E9" s="21" t="n"/>
      <c r="F9" s="21" t="n"/>
      <c r="G9" s="21" t="n"/>
      <c r="H9" s="21" t="n"/>
      <c r="I9" s="21" t="n"/>
      <c r="J9" s="22">
        <f>IF(D9&gt;0,C9/D9*1000,"")</f>
        <v/>
      </c>
      <c r="K9" s="23">
        <f>IF(AND(B9="Meta",D9&gt;0,E9&lt;&gt;""),E9/D9,"")</f>
        <v/>
      </c>
      <c r="L9" s="24">
        <f>IF(D9&gt;0,F9/D9,"")</f>
        <v/>
      </c>
      <c r="M9" s="22">
        <f>IF(F9&gt;0,C9/F9,"")</f>
        <v/>
      </c>
      <c r="N9" s="23">
        <f>IF(F9&gt;0,G9/F9,"")</f>
        <v/>
      </c>
      <c r="O9" s="22">
        <f>IF(G9&gt;0,C9/G9,"")</f>
        <v/>
      </c>
      <c r="P9" s="25">
        <f>IF(I9&gt;0,C9/I9,"")</f>
        <v/>
      </c>
      <c r="Q9" s="19">
        <f>IF(C9="","",IF(G9=0,IF(C9&gt;='Hypothèses'!$B$12,"🔴 Aucun essai : changer de visuel/angle","⏳ Trop tôt, laisser tourner"),IF(O9&lt;='Hypothèses'!$B$11*0.8,"🟢 Rentable : +20 % de budget",IF(O9&lt;='Hypothèses'!$B$11,"🟡 Correct : tester 2 nouveaux visuels","🔴 Trop cher : couper les pires pubs"))))</f>
        <v/>
      </c>
    </row>
    <row r="10">
      <c r="A10" s="18" t="n">
        <v>46321</v>
      </c>
      <c r="B10" s="19" t="inlineStr">
        <is>
          <t>Meta</t>
        </is>
      </c>
      <c r="C10" s="20" t="n"/>
      <c r="D10" s="21" t="n"/>
      <c r="E10" s="21" t="n"/>
      <c r="F10" s="21" t="n"/>
      <c r="G10" s="21" t="n"/>
      <c r="H10" s="21" t="n"/>
      <c r="I10" s="21" t="n"/>
      <c r="J10" s="22">
        <f>IF(D10&gt;0,C10/D10*1000,"")</f>
        <v/>
      </c>
      <c r="K10" s="23">
        <f>IF(AND(B10="Meta",D10&gt;0,E10&lt;&gt;""),E10/D10,"")</f>
        <v/>
      </c>
      <c r="L10" s="24">
        <f>IF(D10&gt;0,F10/D10,"")</f>
        <v/>
      </c>
      <c r="M10" s="22">
        <f>IF(F10&gt;0,C10/F10,"")</f>
        <v/>
      </c>
      <c r="N10" s="23">
        <f>IF(F10&gt;0,G10/F10,"")</f>
        <v/>
      </c>
      <c r="O10" s="22">
        <f>IF(G10&gt;0,C10/G10,"")</f>
        <v/>
      </c>
      <c r="P10" s="25">
        <f>IF(I10&gt;0,C10/I10,"")</f>
        <v/>
      </c>
      <c r="Q10" s="19">
        <f>IF(C10="","",IF(G10=0,IF(C10&gt;='Hypothèses'!$B$12,"🔴 Aucun essai : changer de visuel/angle","⏳ Trop tôt, laisser tourner"),IF(O10&lt;='Hypothèses'!$B$11*0.8,"🟢 Rentable : +20 % de budget",IF(O10&lt;='Hypothèses'!$B$11,"🟡 Correct : tester 2 nouveaux visuels","🔴 Trop cher : couper les pires pubs"))))</f>
        <v/>
      </c>
    </row>
    <row r="11">
      <c r="A11" s="18" t="n">
        <v>46321</v>
      </c>
      <c r="B11" s="19" t="inlineStr">
        <is>
          <t>Google</t>
        </is>
      </c>
      <c r="C11" s="20" t="n"/>
      <c r="D11" s="21" t="n"/>
      <c r="E11" s="21" t="n"/>
      <c r="F11" s="21" t="n"/>
      <c r="G11" s="21" t="n"/>
      <c r="H11" s="21" t="n"/>
      <c r="I11" s="21" t="n"/>
      <c r="J11" s="22">
        <f>IF(D11&gt;0,C11/D11*1000,"")</f>
        <v/>
      </c>
      <c r="K11" s="23">
        <f>IF(AND(B11="Meta",D11&gt;0,E11&lt;&gt;""),E11/D11,"")</f>
        <v/>
      </c>
      <c r="L11" s="24">
        <f>IF(D11&gt;0,F11/D11,"")</f>
        <v/>
      </c>
      <c r="M11" s="22">
        <f>IF(F11&gt;0,C11/F11,"")</f>
        <v/>
      </c>
      <c r="N11" s="23">
        <f>IF(F11&gt;0,G11/F11,"")</f>
        <v/>
      </c>
      <c r="O11" s="22">
        <f>IF(G11&gt;0,C11/G11,"")</f>
        <v/>
      </c>
      <c r="P11" s="25">
        <f>IF(I11&gt;0,C11/I11,"")</f>
        <v/>
      </c>
      <c r="Q11" s="19">
        <f>IF(C11="","",IF(G11=0,IF(C11&gt;='Hypothèses'!$B$12,"🔴 Aucun essai : changer de visuel/angle","⏳ Trop tôt, laisser tourner"),IF(O11&lt;='Hypothèses'!$B$11*0.8,"🟢 Rentable : +20 % de budget",IF(O11&lt;='Hypothèses'!$B$11,"🟡 Correct : tester 2 nouveaux visuels","🔴 Trop cher : couper les pires pubs"))))</f>
        <v/>
      </c>
    </row>
    <row r="12">
      <c r="A12" s="18" t="n">
        <v>46328</v>
      </c>
      <c r="B12" s="19" t="inlineStr">
        <is>
          <t>Meta</t>
        </is>
      </c>
      <c r="C12" s="20" t="n"/>
      <c r="D12" s="21" t="n"/>
      <c r="E12" s="21" t="n"/>
      <c r="F12" s="21" t="n"/>
      <c r="G12" s="21" t="n"/>
      <c r="H12" s="21" t="n"/>
      <c r="I12" s="21" t="n"/>
      <c r="J12" s="22">
        <f>IF(D12&gt;0,C12/D12*1000,"")</f>
        <v/>
      </c>
      <c r="K12" s="23">
        <f>IF(AND(B12="Meta",D12&gt;0,E12&lt;&gt;""),E12/D12,"")</f>
        <v/>
      </c>
      <c r="L12" s="24">
        <f>IF(D12&gt;0,F12/D12,"")</f>
        <v/>
      </c>
      <c r="M12" s="22">
        <f>IF(F12&gt;0,C12/F12,"")</f>
        <v/>
      </c>
      <c r="N12" s="23">
        <f>IF(F12&gt;0,G12/F12,"")</f>
        <v/>
      </c>
      <c r="O12" s="22">
        <f>IF(G12&gt;0,C12/G12,"")</f>
        <v/>
      </c>
      <c r="P12" s="25">
        <f>IF(I12&gt;0,C12/I12,"")</f>
        <v/>
      </c>
      <c r="Q12" s="19">
        <f>IF(C12="","",IF(G12=0,IF(C12&gt;='Hypothèses'!$B$12,"🔴 Aucun essai : changer de visuel/angle","⏳ Trop tôt, laisser tourner"),IF(O12&lt;='Hypothèses'!$B$11*0.8,"🟢 Rentable : +20 % de budget",IF(O12&lt;='Hypothèses'!$B$11,"🟡 Correct : tester 2 nouveaux visuels","🔴 Trop cher : couper les pires pubs"))))</f>
        <v/>
      </c>
    </row>
    <row r="13">
      <c r="A13" s="18" t="n">
        <v>46328</v>
      </c>
      <c r="B13" s="19" t="inlineStr">
        <is>
          <t>Google</t>
        </is>
      </c>
      <c r="C13" s="20" t="n"/>
      <c r="D13" s="21" t="n"/>
      <c r="E13" s="21" t="n"/>
      <c r="F13" s="21" t="n"/>
      <c r="G13" s="21" t="n"/>
      <c r="H13" s="21" t="n"/>
      <c r="I13" s="21" t="n"/>
      <c r="J13" s="22">
        <f>IF(D13&gt;0,C13/D13*1000,"")</f>
        <v/>
      </c>
      <c r="K13" s="23">
        <f>IF(AND(B13="Meta",D13&gt;0,E13&lt;&gt;""),E13/D13,"")</f>
        <v/>
      </c>
      <c r="L13" s="24">
        <f>IF(D13&gt;0,F13/D13,"")</f>
        <v/>
      </c>
      <c r="M13" s="22">
        <f>IF(F13&gt;0,C13/F13,"")</f>
        <v/>
      </c>
      <c r="N13" s="23">
        <f>IF(F13&gt;0,G13/F13,"")</f>
        <v/>
      </c>
      <c r="O13" s="22">
        <f>IF(G13&gt;0,C13/G13,"")</f>
        <v/>
      </c>
      <c r="P13" s="25">
        <f>IF(I13&gt;0,C13/I13,"")</f>
        <v/>
      </c>
      <c r="Q13" s="19">
        <f>IF(C13="","",IF(G13=0,IF(C13&gt;='Hypothèses'!$B$12,"🔴 Aucun essai : changer de visuel/angle","⏳ Trop tôt, laisser tourner"),IF(O13&lt;='Hypothèses'!$B$11*0.8,"🟢 Rentable : +20 % de budget",IF(O13&lt;='Hypothèses'!$B$11,"🟡 Correct : tester 2 nouveaux visuels","🔴 Trop cher : couper les pires pubs"))))</f>
        <v/>
      </c>
    </row>
    <row r="14">
      <c r="A14" s="18" t="n">
        <v>46335</v>
      </c>
      <c r="B14" s="19" t="inlineStr">
        <is>
          <t>Meta</t>
        </is>
      </c>
      <c r="C14" s="20" t="n"/>
      <c r="D14" s="21" t="n"/>
      <c r="E14" s="21" t="n"/>
      <c r="F14" s="21" t="n"/>
      <c r="G14" s="21" t="n"/>
      <c r="H14" s="21" t="n"/>
      <c r="I14" s="21" t="n"/>
      <c r="J14" s="22">
        <f>IF(D14&gt;0,C14/D14*1000,"")</f>
        <v/>
      </c>
      <c r="K14" s="23">
        <f>IF(AND(B14="Meta",D14&gt;0,E14&lt;&gt;""),E14/D14,"")</f>
        <v/>
      </c>
      <c r="L14" s="24">
        <f>IF(D14&gt;0,F14/D14,"")</f>
        <v/>
      </c>
      <c r="M14" s="22">
        <f>IF(F14&gt;0,C14/F14,"")</f>
        <v/>
      </c>
      <c r="N14" s="23">
        <f>IF(F14&gt;0,G14/F14,"")</f>
        <v/>
      </c>
      <c r="O14" s="22">
        <f>IF(G14&gt;0,C14/G14,"")</f>
        <v/>
      </c>
      <c r="P14" s="25">
        <f>IF(I14&gt;0,C14/I14,"")</f>
        <v/>
      </c>
      <c r="Q14" s="19">
        <f>IF(C14="","",IF(G14=0,IF(C14&gt;='Hypothèses'!$B$12,"🔴 Aucun essai : changer de visuel/angle","⏳ Trop tôt, laisser tourner"),IF(O14&lt;='Hypothèses'!$B$11*0.8,"🟢 Rentable : +20 % de budget",IF(O14&lt;='Hypothèses'!$B$11,"🟡 Correct : tester 2 nouveaux visuels","🔴 Trop cher : couper les pires pubs"))))</f>
        <v/>
      </c>
    </row>
    <row r="15">
      <c r="A15" s="18" t="n">
        <v>46335</v>
      </c>
      <c r="B15" s="19" t="inlineStr">
        <is>
          <t>Google</t>
        </is>
      </c>
      <c r="C15" s="20" t="n"/>
      <c r="D15" s="21" t="n"/>
      <c r="E15" s="21" t="n"/>
      <c r="F15" s="21" t="n"/>
      <c r="G15" s="21" t="n"/>
      <c r="H15" s="21" t="n"/>
      <c r="I15" s="21" t="n"/>
      <c r="J15" s="22">
        <f>IF(D15&gt;0,C15/D15*1000,"")</f>
        <v/>
      </c>
      <c r="K15" s="23">
        <f>IF(AND(B15="Meta",D15&gt;0,E15&lt;&gt;""),E15/D15,"")</f>
        <v/>
      </c>
      <c r="L15" s="24">
        <f>IF(D15&gt;0,F15/D15,"")</f>
        <v/>
      </c>
      <c r="M15" s="22">
        <f>IF(F15&gt;0,C15/F15,"")</f>
        <v/>
      </c>
      <c r="N15" s="23">
        <f>IF(F15&gt;0,G15/F15,"")</f>
        <v/>
      </c>
      <c r="O15" s="22">
        <f>IF(G15&gt;0,C15/G15,"")</f>
        <v/>
      </c>
      <c r="P15" s="25">
        <f>IF(I15&gt;0,C15/I15,"")</f>
        <v/>
      </c>
      <c r="Q15" s="19">
        <f>IF(C15="","",IF(G15=0,IF(C15&gt;='Hypothèses'!$B$12,"🔴 Aucun essai : changer de visuel/angle","⏳ Trop tôt, laisser tourner"),IF(O15&lt;='Hypothèses'!$B$11*0.8,"🟢 Rentable : +20 % de budget",IF(O15&lt;='Hypothèses'!$B$11,"🟡 Correct : tester 2 nouveaux visuels","🔴 Trop cher : couper les pires pubs"))))</f>
        <v/>
      </c>
    </row>
    <row r="16">
      <c r="A16" s="18" t="n">
        <v>46342</v>
      </c>
      <c r="B16" s="19" t="inlineStr">
        <is>
          <t>Meta</t>
        </is>
      </c>
      <c r="C16" s="20" t="n"/>
      <c r="D16" s="21" t="n"/>
      <c r="E16" s="21" t="n"/>
      <c r="F16" s="21" t="n"/>
      <c r="G16" s="21" t="n"/>
      <c r="H16" s="21" t="n"/>
      <c r="I16" s="21" t="n"/>
      <c r="J16" s="22">
        <f>IF(D16&gt;0,C16/D16*1000,"")</f>
        <v/>
      </c>
      <c r="K16" s="23">
        <f>IF(AND(B16="Meta",D16&gt;0,E16&lt;&gt;""),E16/D16,"")</f>
        <v/>
      </c>
      <c r="L16" s="24">
        <f>IF(D16&gt;0,F16/D16,"")</f>
        <v/>
      </c>
      <c r="M16" s="22">
        <f>IF(F16&gt;0,C16/F16,"")</f>
        <v/>
      </c>
      <c r="N16" s="23">
        <f>IF(F16&gt;0,G16/F16,"")</f>
        <v/>
      </c>
      <c r="O16" s="22">
        <f>IF(G16&gt;0,C16/G16,"")</f>
        <v/>
      </c>
      <c r="P16" s="25">
        <f>IF(I16&gt;0,C16/I16,"")</f>
        <v/>
      </c>
      <c r="Q16" s="19">
        <f>IF(C16="","",IF(G16=0,IF(C16&gt;='Hypothèses'!$B$12,"🔴 Aucun essai : changer de visuel/angle","⏳ Trop tôt, laisser tourner"),IF(O16&lt;='Hypothèses'!$B$11*0.8,"🟢 Rentable : +20 % de budget",IF(O16&lt;='Hypothèses'!$B$11,"🟡 Correct : tester 2 nouveaux visuels","🔴 Trop cher : couper les pires pubs"))))</f>
        <v/>
      </c>
    </row>
    <row r="17">
      <c r="A17" s="18" t="n">
        <v>46342</v>
      </c>
      <c r="B17" s="19" t="inlineStr">
        <is>
          <t>Google</t>
        </is>
      </c>
      <c r="C17" s="20" t="n"/>
      <c r="D17" s="21" t="n"/>
      <c r="E17" s="21" t="n"/>
      <c r="F17" s="21" t="n"/>
      <c r="G17" s="21" t="n"/>
      <c r="H17" s="21" t="n"/>
      <c r="I17" s="21" t="n"/>
      <c r="J17" s="22">
        <f>IF(D17&gt;0,C17/D17*1000,"")</f>
        <v/>
      </c>
      <c r="K17" s="23">
        <f>IF(AND(B17="Meta",D17&gt;0,E17&lt;&gt;""),E17/D17,"")</f>
        <v/>
      </c>
      <c r="L17" s="24">
        <f>IF(D17&gt;0,F17/D17,"")</f>
        <v/>
      </c>
      <c r="M17" s="22">
        <f>IF(F17&gt;0,C17/F17,"")</f>
        <v/>
      </c>
      <c r="N17" s="23">
        <f>IF(F17&gt;0,G17/F17,"")</f>
        <v/>
      </c>
      <c r="O17" s="22">
        <f>IF(G17&gt;0,C17/G17,"")</f>
        <v/>
      </c>
      <c r="P17" s="25">
        <f>IF(I17&gt;0,C17/I17,"")</f>
        <v/>
      </c>
      <c r="Q17" s="19">
        <f>IF(C17="","",IF(G17=0,IF(C17&gt;='Hypothèses'!$B$12,"🔴 Aucun essai : changer de visuel/angle","⏳ Trop tôt, laisser tourner"),IF(O17&lt;='Hypothèses'!$B$11*0.8,"🟢 Rentable : +20 % de budget",IF(O17&lt;='Hypothèses'!$B$11,"🟡 Correct : tester 2 nouveaux visuels","🔴 Trop cher : couper les pires pubs"))))</f>
        <v/>
      </c>
    </row>
    <row r="18">
      <c r="A18" s="18" t="n">
        <v>46349</v>
      </c>
      <c r="B18" s="19" t="inlineStr">
        <is>
          <t>Meta</t>
        </is>
      </c>
      <c r="C18" s="20" t="n"/>
      <c r="D18" s="21" t="n"/>
      <c r="E18" s="21" t="n"/>
      <c r="F18" s="21" t="n"/>
      <c r="G18" s="21" t="n"/>
      <c r="H18" s="21" t="n"/>
      <c r="I18" s="21" t="n"/>
      <c r="J18" s="22">
        <f>IF(D18&gt;0,C18/D18*1000,"")</f>
        <v/>
      </c>
      <c r="K18" s="23">
        <f>IF(AND(B18="Meta",D18&gt;0,E18&lt;&gt;""),E18/D18,"")</f>
        <v/>
      </c>
      <c r="L18" s="24">
        <f>IF(D18&gt;0,F18/D18,"")</f>
        <v/>
      </c>
      <c r="M18" s="22">
        <f>IF(F18&gt;0,C18/F18,"")</f>
        <v/>
      </c>
      <c r="N18" s="23">
        <f>IF(F18&gt;0,G18/F18,"")</f>
        <v/>
      </c>
      <c r="O18" s="22">
        <f>IF(G18&gt;0,C18/G18,"")</f>
        <v/>
      </c>
      <c r="P18" s="25">
        <f>IF(I18&gt;0,C18/I18,"")</f>
        <v/>
      </c>
      <c r="Q18" s="19">
        <f>IF(C18="","",IF(G18=0,IF(C18&gt;='Hypothèses'!$B$12,"🔴 Aucun essai : changer de visuel/angle","⏳ Trop tôt, laisser tourner"),IF(O18&lt;='Hypothèses'!$B$11*0.8,"🟢 Rentable : +20 % de budget",IF(O18&lt;='Hypothèses'!$B$11,"🟡 Correct : tester 2 nouveaux visuels","🔴 Trop cher : couper les pires pubs"))))</f>
        <v/>
      </c>
    </row>
    <row r="19">
      <c r="A19" s="18" t="n">
        <v>46349</v>
      </c>
      <c r="B19" s="19" t="inlineStr">
        <is>
          <t>Google</t>
        </is>
      </c>
      <c r="C19" s="20" t="n"/>
      <c r="D19" s="21" t="n"/>
      <c r="E19" s="21" t="n"/>
      <c r="F19" s="21" t="n"/>
      <c r="G19" s="21" t="n"/>
      <c r="H19" s="21" t="n"/>
      <c r="I19" s="21" t="n"/>
      <c r="J19" s="22">
        <f>IF(D19&gt;0,C19/D19*1000,"")</f>
        <v/>
      </c>
      <c r="K19" s="23">
        <f>IF(AND(B19="Meta",D19&gt;0,E19&lt;&gt;""),E19/D19,"")</f>
        <v/>
      </c>
      <c r="L19" s="24">
        <f>IF(D19&gt;0,F19/D19,"")</f>
        <v/>
      </c>
      <c r="M19" s="22">
        <f>IF(F19&gt;0,C19/F19,"")</f>
        <v/>
      </c>
      <c r="N19" s="23">
        <f>IF(F19&gt;0,G19/F19,"")</f>
        <v/>
      </c>
      <c r="O19" s="22">
        <f>IF(G19&gt;0,C19/G19,"")</f>
        <v/>
      </c>
      <c r="P19" s="25">
        <f>IF(I19&gt;0,C19/I19,"")</f>
        <v/>
      </c>
      <c r="Q19" s="19">
        <f>IF(C19="","",IF(G19=0,IF(C19&gt;='Hypothèses'!$B$12,"🔴 Aucun essai : changer de visuel/angle","⏳ Trop tôt, laisser tourner"),IF(O19&lt;='Hypothèses'!$B$11*0.8,"🟢 Rentable : +20 % de budget",IF(O19&lt;='Hypothèses'!$B$11,"🟡 Correct : tester 2 nouveaux visuels","🔴 Trop cher : couper les pires pubs"))))</f>
        <v/>
      </c>
    </row>
    <row r="20">
      <c r="A20" s="18" t="n">
        <v>46356</v>
      </c>
      <c r="B20" s="19" t="inlineStr">
        <is>
          <t>Meta</t>
        </is>
      </c>
      <c r="C20" s="20" t="n"/>
      <c r="D20" s="21" t="n"/>
      <c r="E20" s="21" t="n"/>
      <c r="F20" s="21" t="n"/>
      <c r="G20" s="21" t="n"/>
      <c r="H20" s="21" t="n"/>
      <c r="I20" s="21" t="n"/>
      <c r="J20" s="22">
        <f>IF(D20&gt;0,C20/D20*1000,"")</f>
        <v/>
      </c>
      <c r="K20" s="23">
        <f>IF(AND(B20="Meta",D20&gt;0,E20&lt;&gt;""),E20/D20,"")</f>
        <v/>
      </c>
      <c r="L20" s="24">
        <f>IF(D20&gt;0,F20/D20,"")</f>
        <v/>
      </c>
      <c r="M20" s="22">
        <f>IF(F20&gt;0,C20/F20,"")</f>
        <v/>
      </c>
      <c r="N20" s="23">
        <f>IF(F20&gt;0,G20/F20,"")</f>
        <v/>
      </c>
      <c r="O20" s="22">
        <f>IF(G20&gt;0,C20/G20,"")</f>
        <v/>
      </c>
      <c r="P20" s="25">
        <f>IF(I20&gt;0,C20/I20,"")</f>
        <v/>
      </c>
      <c r="Q20" s="19">
        <f>IF(C20="","",IF(G20=0,IF(C20&gt;='Hypothèses'!$B$12,"🔴 Aucun essai : changer de visuel/angle","⏳ Trop tôt, laisser tourner"),IF(O20&lt;='Hypothèses'!$B$11*0.8,"🟢 Rentable : +20 % de budget",IF(O20&lt;='Hypothèses'!$B$11,"🟡 Correct : tester 2 nouveaux visuels","🔴 Trop cher : couper les pires pubs"))))</f>
        <v/>
      </c>
    </row>
    <row r="21">
      <c r="A21" s="18" t="n">
        <v>46356</v>
      </c>
      <c r="B21" s="19" t="inlineStr">
        <is>
          <t>Google</t>
        </is>
      </c>
      <c r="C21" s="20" t="n"/>
      <c r="D21" s="21" t="n"/>
      <c r="E21" s="21" t="n"/>
      <c r="F21" s="21" t="n"/>
      <c r="G21" s="21" t="n"/>
      <c r="H21" s="21" t="n"/>
      <c r="I21" s="21" t="n"/>
      <c r="J21" s="22">
        <f>IF(D21&gt;0,C21/D21*1000,"")</f>
        <v/>
      </c>
      <c r="K21" s="23">
        <f>IF(AND(B21="Meta",D21&gt;0,E21&lt;&gt;""),E21/D21,"")</f>
        <v/>
      </c>
      <c r="L21" s="24">
        <f>IF(D21&gt;0,F21/D21,"")</f>
        <v/>
      </c>
      <c r="M21" s="22">
        <f>IF(F21&gt;0,C21/F21,"")</f>
        <v/>
      </c>
      <c r="N21" s="23">
        <f>IF(F21&gt;0,G21/F21,"")</f>
        <v/>
      </c>
      <c r="O21" s="22">
        <f>IF(G21&gt;0,C21/G21,"")</f>
        <v/>
      </c>
      <c r="P21" s="25">
        <f>IF(I21&gt;0,C21/I21,"")</f>
        <v/>
      </c>
      <c r="Q21" s="19">
        <f>IF(C21="","",IF(G21=0,IF(C21&gt;='Hypothèses'!$B$12,"🔴 Aucun essai : changer de visuel/angle","⏳ Trop tôt, laisser tourner"),IF(O21&lt;='Hypothèses'!$B$11*0.8,"🟢 Rentable : +20 % de budget",IF(O21&lt;='Hypothèses'!$B$11,"🟡 Correct : tester 2 nouveaux visuels","🔴 Trop cher : couper les pires pubs"))))</f>
        <v/>
      </c>
    </row>
    <row r="22">
      <c r="A22" s="18" t="n">
        <v>46363</v>
      </c>
      <c r="B22" s="19" t="inlineStr">
        <is>
          <t>Meta</t>
        </is>
      </c>
      <c r="C22" s="20" t="n"/>
      <c r="D22" s="21" t="n"/>
      <c r="E22" s="21" t="n"/>
      <c r="F22" s="21" t="n"/>
      <c r="G22" s="21" t="n"/>
      <c r="H22" s="21" t="n"/>
      <c r="I22" s="21" t="n"/>
      <c r="J22" s="22">
        <f>IF(D22&gt;0,C22/D22*1000,"")</f>
        <v/>
      </c>
      <c r="K22" s="23">
        <f>IF(AND(B22="Meta",D22&gt;0,E22&lt;&gt;""),E22/D22,"")</f>
        <v/>
      </c>
      <c r="L22" s="24">
        <f>IF(D22&gt;0,F22/D22,"")</f>
        <v/>
      </c>
      <c r="M22" s="22">
        <f>IF(F22&gt;0,C22/F22,"")</f>
        <v/>
      </c>
      <c r="N22" s="23">
        <f>IF(F22&gt;0,G22/F22,"")</f>
        <v/>
      </c>
      <c r="O22" s="22">
        <f>IF(G22&gt;0,C22/G22,"")</f>
        <v/>
      </c>
      <c r="P22" s="25">
        <f>IF(I22&gt;0,C22/I22,"")</f>
        <v/>
      </c>
      <c r="Q22" s="19">
        <f>IF(C22="","",IF(G22=0,IF(C22&gt;='Hypothèses'!$B$12,"🔴 Aucun essai : changer de visuel/angle","⏳ Trop tôt, laisser tourner"),IF(O22&lt;='Hypothèses'!$B$11*0.8,"🟢 Rentable : +20 % de budget",IF(O22&lt;='Hypothèses'!$B$11,"🟡 Correct : tester 2 nouveaux visuels","🔴 Trop cher : couper les pires pubs"))))</f>
        <v/>
      </c>
    </row>
    <row r="23">
      <c r="A23" s="18" t="n">
        <v>46363</v>
      </c>
      <c r="B23" s="19" t="inlineStr">
        <is>
          <t>Google</t>
        </is>
      </c>
      <c r="C23" s="20" t="n"/>
      <c r="D23" s="21" t="n"/>
      <c r="E23" s="21" t="n"/>
      <c r="F23" s="21" t="n"/>
      <c r="G23" s="21" t="n"/>
      <c r="H23" s="21" t="n"/>
      <c r="I23" s="21" t="n"/>
      <c r="J23" s="22">
        <f>IF(D23&gt;0,C23/D23*1000,"")</f>
        <v/>
      </c>
      <c r="K23" s="23">
        <f>IF(AND(B23="Meta",D23&gt;0,E23&lt;&gt;""),E23/D23,"")</f>
        <v/>
      </c>
      <c r="L23" s="24">
        <f>IF(D23&gt;0,F23/D23,"")</f>
        <v/>
      </c>
      <c r="M23" s="22">
        <f>IF(F23&gt;0,C23/F23,"")</f>
        <v/>
      </c>
      <c r="N23" s="23">
        <f>IF(F23&gt;0,G23/F23,"")</f>
        <v/>
      </c>
      <c r="O23" s="22">
        <f>IF(G23&gt;0,C23/G23,"")</f>
        <v/>
      </c>
      <c r="P23" s="25">
        <f>IF(I23&gt;0,C23/I23,"")</f>
        <v/>
      </c>
      <c r="Q23" s="19">
        <f>IF(C23="","",IF(G23=0,IF(C23&gt;='Hypothèses'!$B$12,"🔴 Aucun essai : changer de visuel/angle","⏳ Trop tôt, laisser tourner"),IF(O23&lt;='Hypothèses'!$B$11*0.8,"🟢 Rentable : +20 % de budget",IF(O23&lt;='Hypothèses'!$B$11,"🟡 Correct : tester 2 nouveaux visuels","🔴 Trop cher : couper les pires pubs"))))</f>
        <v/>
      </c>
    </row>
    <row r="24">
      <c r="A24" s="18" t="n">
        <v>46370</v>
      </c>
      <c r="B24" s="19" t="inlineStr">
        <is>
          <t>Meta</t>
        </is>
      </c>
      <c r="C24" s="20" t="n"/>
      <c r="D24" s="21" t="n"/>
      <c r="E24" s="21" t="n"/>
      <c r="F24" s="21" t="n"/>
      <c r="G24" s="21" t="n"/>
      <c r="H24" s="21" t="n"/>
      <c r="I24" s="21" t="n"/>
      <c r="J24" s="22">
        <f>IF(D24&gt;0,C24/D24*1000,"")</f>
        <v/>
      </c>
      <c r="K24" s="23">
        <f>IF(AND(B24="Meta",D24&gt;0,E24&lt;&gt;""),E24/D24,"")</f>
        <v/>
      </c>
      <c r="L24" s="24">
        <f>IF(D24&gt;0,F24/D24,"")</f>
        <v/>
      </c>
      <c r="M24" s="22">
        <f>IF(F24&gt;0,C24/F24,"")</f>
        <v/>
      </c>
      <c r="N24" s="23">
        <f>IF(F24&gt;0,G24/F24,"")</f>
        <v/>
      </c>
      <c r="O24" s="22">
        <f>IF(G24&gt;0,C24/G24,"")</f>
        <v/>
      </c>
      <c r="P24" s="25">
        <f>IF(I24&gt;0,C24/I24,"")</f>
        <v/>
      </c>
      <c r="Q24" s="19">
        <f>IF(C24="","",IF(G24=0,IF(C24&gt;='Hypothèses'!$B$12,"🔴 Aucun essai : changer de visuel/angle","⏳ Trop tôt, laisser tourner"),IF(O24&lt;='Hypothèses'!$B$11*0.8,"🟢 Rentable : +20 % de budget",IF(O24&lt;='Hypothèses'!$B$11,"🟡 Correct : tester 2 nouveaux visuels","🔴 Trop cher : couper les pires pubs"))))</f>
        <v/>
      </c>
    </row>
    <row r="25">
      <c r="A25" s="18" t="n">
        <v>46370</v>
      </c>
      <c r="B25" s="19" t="inlineStr">
        <is>
          <t>Google</t>
        </is>
      </c>
      <c r="C25" s="20" t="n"/>
      <c r="D25" s="21" t="n"/>
      <c r="E25" s="21" t="n"/>
      <c r="F25" s="21" t="n"/>
      <c r="G25" s="21" t="n"/>
      <c r="H25" s="21" t="n"/>
      <c r="I25" s="21" t="n"/>
      <c r="J25" s="22">
        <f>IF(D25&gt;0,C25/D25*1000,"")</f>
        <v/>
      </c>
      <c r="K25" s="23">
        <f>IF(AND(B25="Meta",D25&gt;0,E25&lt;&gt;""),E25/D25,"")</f>
        <v/>
      </c>
      <c r="L25" s="24">
        <f>IF(D25&gt;0,F25/D25,"")</f>
        <v/>
      </c>
      <c r="M25" s="22">
        <f>IF(F25&gt;0,C25/F25,"")</f>
        <v/>
      </c>
      <c r="N25" s="23">
        <f>IF(F25&gt;0,G25/F25,"")</f>
        <v/>
      </c>
      <c r="O25" s="22">
        <f>IF(G25&gt;0,C25/G25,"")</f>
        <v/>
      </c>
      <c r="P25" s="25">
        <f>IF(I25&gt;0,C25/I25,"")</f>
        <v/>
      </c>
      <c r="Q25" s="19">
        <f>IF(C25="","",IF(G25=0,IF(C25&gt;='Hypothèses'!$B$12,"🔴 Aucun essai : changer de visuel/angle","⏳ Trop tôt, laisser tourner"),IF(O25&lt;='Hypothèses'!$B$11*0.8,"🟢 Rentable : +20 % de budget",IF(O25&lt;='Hypothèses'!$B$11,"🟡 Correct : tester 2 nouveaux visuels","🔴 Trop cher : couper les pires pubs"))))</f>
        <v/>
      </c>
    </row>
    <row r="26">
      <c r="A26" s="18" t="n">
        <v>46377</v>
      </c>
      <c r="B26" s="19" t="inlineStr">
        <is>
          <t>Meta</t>
        </is>
      </c>
      <c r="C26" s="20" t="n"/>
      <c r="D26" s="21" t="n"/>
      <c r="E26" s="21" t="n"/>
      <c r="F26" s="21" t="n"/>
      <c r="G26" s="21" t="n"/>
      <c r="H26" s="21" t="n"/>
      <c r="I26" s="21" t="n"/>
      <c r="J26" s="22">
        <f>IF(D26&gt;0,C26/D26*1000,"")</f>
        <v/>
      </c>
      <c r="K26" s="23">
        <f>IF(AND(B26="Meta",D26&gt;0,E26&lt;&gt;""),E26/D26,"")</f>
        <v/>
      </c>
      <c r="L26" s="24">
        <f>IF(D26&gt;0,F26/D26,"")</f>
        <v/>
      </c>
      <c r="M26" s="22">
        <f>IF(F26&gt;0,C26/F26,"")</f>
        <v/>
      </c>
      <c r="N26" s="23">
        <f>IF(F26&gt;0,G26/F26,"")</f>
        <v/>
      </c>
      <c r="O26" s="22">
        <f>IF(G26&gt;0,C26/G26,"")</f>
        <v/>
      </c>
      <c r="P26" s="25">
        <f>IF(I26&gt;0,C26/I26,"")</f>
        <v/>
      </c>
      <c r="Q26" s="19">
        <f>IF(C26="","",IF(G26=0,IF(C26&gt;='Hypothèses'!$B$12,"🔴 Aucun essai : changer de visuel/angle","⏳ Trop tôt, laisser tourner"),IF(O26&lt;='Hypothèses'!$B$11*0.8,"🟢 Rentable : +20 % de budget",IF(O26&lt;='Hypothèses'!$B$11,"🟡 Correct : tester 2 nouveaux visuels","🔴 Trop cher : couper les pires pubs"))))</f>
        <v/>
      </c>
    </row>
    <row r="27">
      <c r="A27" s="18" t="n">
        <v>46377</v>
      </c>
      <c r="B27" s="19" t="inlineStr">
        <is>
          <t>Google</t>
        </is>
      </c>
      <c r="C27" s="20" t="n"/>
      <c r="D27" s="21" t="n"/>
      <c r="E27" s="21" t="n"/>
      <c r="F27" s="21" t="n"/>
      <c r="G27" s="21" t="n"/>
      <c r="H27" s="21" t="n"/>
      <c r="I27" s="21" t="n"/>
      <c r="J27" s="22">
        <f>IF(D27&gt;0,C27/D27*1000,"")</f>
        <v/>
      </c>
      <c r="K27" s="23">
        <f>IF(AND(B27="Meta",D27&gt;0,E27&lt;&gt;""),E27/D27,"")</f>
        <v/>
      </c>
      <c r="L27" s="24">
        <f>IF(D27&gt;0,F27/D27,"")</f>
        <v/>
      </c>
      <c r="M27" s="22">
        <f>IF(F27&gt;0,C27/F27,"")</f>
        <v/>
      </c>
      <c r="N27" s="23">
        <f>IF(F27&gt;0,G27/F27,"")</f>
        <v/>
      </c>
      <c r="O27" s="22">
        <f>IF(G27&gt;0,C27/G27,"")</f>
        <v/>
      </c>
      <c r="P27" s="25">
        <f>IF(I27&gt;0,C27/I27,"")</f>
        <v/>
      </c>
      <c r="Q27" s="19">
        <f>IF(C27="","",IF(G27=0,IF(C27&gt;='Hypothèses'!$B$12,"🔴 Aucun essai : changer de visuel/angle","⏳ Trop tôt, laisser tourner"),IF(O27&lt;='Hypothèses'!$B$11*0.8,"🟢 Rentable : +20 % de budget",IF(O27&lt;='Hypothèses'!$B$11,"🟡 Correct : tester 2 nouveaux visuels","🔴 Trop cher : couper les pires pubs"))))</f>
        <v/>
      </c>
    </row>
    <row r="28">
      <c r="A28" s="18" t="n">
        <v>46384</v>
      </c>
      <c r="B28" s="19" t="inlineStr">
        <is>
          <t>Meta</t>
        </is>
      </c>
      <c r="C28" s="20" t="n"/>
      <c r="D28" s="21" t="n"/>
      <c r="E28" s="21" t="n"/>
      <c r="F28" s="21" t="n"/>
      <c r="G28" s="21" t="n"/>
      <c r="H28" s="21" t="n"/>
      <c r="I28" s="21" t="n"/>
      <c r="J28" s="22">
        <f>IF(D28&gt;0,C28/D28*1000,"")</f>
        <v/>
      </c>
      <c r="K28" s="23">
        <f>IF(AND(B28="Meta",D28&gt;0,E28&lt;&gt;""),E28/D28,"")</f>
        <v/>
      </c>
      <c r="L28" s="24">
        <f>IF(D28&gt;0,F28/D28,"")</f>
        <v/>
      </c>
      <c r="M28" s="22">
        <f>IF(F28&gt;0,C28/F28,"")</f>
        <v/>
      </c>
      <c r="N28" s="23">
        <f>IF(F28&gt;0,G28/F28,"")</f>
        <v/>
      </c>
      <c r="O28" s="22">
        <f>IF(G28&gt;0,C28/G28,"")</f>
        <v/>
      </c>
      <c r="P28" s="25">
        <f>IF(I28&gt;0,C28/I28,"")</f>
        <v/>
      </c>
      <c r="Q28" s="19">
        <f>IF(C28="","",IF(G28=0,IF(C28&gt;='Hypothèses'!$B$12,"🔴 Aucun essai : changer de visuel/angle","⏳ Trop tôt, laisser tourner"),IF(O28&lt;='Hypothèses'!$B$11*0.8,"🟢 Rentable : +20 % de budget",IF(O28&lt;='Hypothèses'!$B$11,"🟡 Correct : tester 2 nouveaux visuels","🔴 Trop cher : couper les pires pubs"))))</f>
        <v/>
      </c>
    </row>
    <row r="29">
      <c r="A29" s="18" t="n">
        <v>46384</v>
      </c>
      <c r="B29" s="19" t="inlineStr">
        <is>
          <t>Google</t>
        </is>
      </c>
      <c r="C29" s="20" t="n"/>
      <c r="D29" s="21" t="n"/>
      <c r="E29" s="21" t="n"/>
      <c r="F29" s="21" t="n"/>
      <c r="G29" s="21" t="n"/>
      <c r="H29" s="21" t="n"/>
      <c r="I29" s="21" t="n"/>
      <c r="J29" s="22">
        <f>IF(D29&gt;0,C29/D29*1000,"")</f>
        <v/>
      </c>
      <c r="K29" s="23">
        <f>IF(AND(B29="Meta",D29&gt;0,E29&lt;&gt;""),E29/D29,"")</f>
        <v/>
      </c>
      <c r="L29" s="24">
        <f>IF(D29&gt;0,F29/D29,"")</f>
        <v/>
      </c>
      <c r="M29" s="22">
        <f>IF(F29&gt;0,C29/F29,"")</f>
        <v/>
      </c>
      <c r="N29" s="23">
        <f>IF(F29&gt;0,G29/F29,"")</f>
        <v/>
      </c>
      <c r="O29" s="22">
        <f>IF(G29&gt;0,C29/G29,"")</f>
        <v/>
      </c>
      <c r="P29" s="25">
        <f>IF(I29&gt;0,C29/I29,"")</f>
        <v/>
      </c>
      <c r="Q29" s="19">
        <f>IF(C29="","",IF(G29=0,IF(C29&gt;='Hypothèses'!$B$12,"🔴 Aucun essai : changer de visuel/angle","⏳ Trop tôt, laisser tourner"),IF(O29&lt;='Hypothèses'!$B$11*0.8,"🟢 Rentable : +20 % de budget",IF(O29&lt;='Hypothèses'!$B$11,"🟡 Correct : tester 2 nouveaux visuels","🔴 Trop cher : couper les pires pubs"))))</f>
        <v/>
      </c>
    </row>
    <row r="31">
      <c r="A31" s="26" t="inlineStr">
        <is>
          <t>TOTAL</t>
        </is>
      </c>
      <c r="B31" s="26" t="inlineStr">
        <is>
          <t>Meta</t>
        </is>
      </c>
      <c r="C31" s="27">
        <f>SUMIFS(C4:C29,$B$4:$B$29,"Meta")</f>
        <v/>
      </c>
      <c r="D31" s="28">
        <f>SUMIFS(D4:D29,$B$4:$B$29,"Meta")</f>
        <v/>
      </c>
      <c r="E31" s="28">
        <f>SUMIFS(E4:E29,$B$4:$B$29,"Meta")</f>
        <v/>
      </c>
      <c r="F31" s="28">
        <f>SUMIFS(F4:F29,$B$4:$B$29,"Meta")</f>
        <v/>
      </c>
      <c r="G31" s="28">
        <f>SUMIFS(G4:G29,$B$4:$B$29,"Meta")</f>
        <v/>
      </c>
      <c r="H31" s="28">
        <f>SUMIFS(H4:H29,$B$4:$B$29,"Meta")</f>
        <v/>
      </c>
      <c r="I31" s="28">
        <f>SUMIFS(I4:I29,$B$4:$B$29,"Meta")</f>
        <v/>
      </c>
      <c r="J31" s="29" t="n"/>
      <c r="K31" s="29" t="n"/>
      <c r="L31" s="29" t="n"/>
      <c r="M31" s="29" t="n"/>
      <c r="N31" s="30">
        <f>IF(F31&gt;0,G31/F31,"")</f>
        <v/>
      </c>
      <c r="O31" s="31">
        <f>IF(G31&gt;0,C31/G31,"")</f>
        <v/>
      </c>
      <c r="P31" s="32">
        <f>IF(I31&gt;0,C31/I31,"")</f>
        <v/>
      </c>
      <c r="Q31" s="29" t="n"/>
    </row>
    <row r="32">
      <c r="A32" s="29" t="n"/>
      <c r="B32" s="26" t="inlineStr">
        <is>
          <t>Google</t>
        </is>
      </c>
      <c r="C32" s="27">
        <f>SUMIFS(C4:C29,$B$4:$B$29,"Google")</f>
        <v/>
      </c>
      <c r="D32" s="28">
        <f>SUMIFS(D4:D29,$B$4:$B$29,"Google")</f>
        <v/>
      </c>
      <c r="E32" s="28">
        <f>SUMIFS(E4:E29,$B$4:$B$29,"Google")</f>
        <v/>
      </c>
      <c r="F32" s="28">
        <f>SUMIFS(F4:F29,$B$4:$B$29,"Google")</f>
        <v/>
      </c>
      <c r="G32" s="28">
        <f>SUMIFS(G4:G29,$B$4:$B$29,"Google")</f>
        <v/>
      </c>
      <c r="H32" s="28">
        <f>SUMIFS(H4:H29,$B$4:$B$29,"Google")</f>
        <v/>
      </c>
      <c r="I32" s="28">
        <f>SUMIFS(I4:I29,$B$4:$B$29,"Google")</f>
        <v/>
      </c>
      <c r="J32" s="29" t="n"/>
      <c r="K32" s="29" t="n"/>
      <c r="L32" s="29" t="n"/>
      <c r="M32" s="29" t="n"/>
      <c r="N32" s="30">
        <f>IF(F32&gt;0,G32/F32,"")</f>
        <v/>
      </c>
      <c r="O32" s="31">
        <f>IF(G32&gt;0,C32/G32,"")</f>
        <v/>
      </c>
      <c r="P32" s="32">
        <f>IF(I32&gt;0,C32/I32,"")</f>
        <v/>
      </c>
      <c r="Q32" s="29" t="n"/>
    </row>
    <row r="33">
      <c r="A33" s="29" t="n"/>
      <c r="B33" s="26" t="inlineStr">
        <is>
          <t>Tous</t>
        </is>
      </c>
      <c r="C33" s="27">
        <f>SUM(C4:C29)</f>
        <v/>
      </c>
      <c r="D33" s="28">
        <f>SUM(D4:D29)</f>
        <v/>
      </c>
      <c r="E33" s="28">
        <f>SUM(E4:E29)</f>
        <v/>
      </c>
      <c r="F33" s="28">
        <f>SUM(F4:F29)</f>
        <v/>
      </c>
      <c r="G33" s="28">
        <f>SUM(G4:G29)</f>
        <v/>
      </c>
      <c r="H33" s="28">
        <f>SUM(H4:H29)</f>
        <v/>
      </c>
      <c r="I33" s="28">
        <f>SUM(I4:I29)</f>
        <v/>
      </c>
      <c r="J33" s="29" t="n"/>
      <c r="K33" s="29" t="n"/>
      <c r="L33" s="29" t="n"/>
      <c r="M33" s="29" t="n"/>
      <c r="N33" s="30">
        <f>IF(F33&gt;0,G33/F33,"")</f>
        <v/>
      </c>
      <c r="O33" s="31">
        <f>IF(G33&gt;0,C33/G33,"")</f>
        <v/>
      </c>
      <c r="P33" s="32">
        <f>IF(I33&gt;0,C33/I33,"")</f>
        <v/>
      </c>
      <c r="Q33" s="29" t="n"/>
    </row>
    <row r="35">
      <c r="A35" s="6" t="inlineStr">
        <is>
          <t>Taux essai → payant réel</t>
        </is>
      </c>
      <c r="C35" s="33">
        <f>IF(G33&gt;0,I33/G33,"")</f>
        <v/>
      </c>
      <c r="D35" s="34" t="inlineStr">
        <is>
          <t>→ à reporter dans Hypothèses!B6 quand tu as au moins 20 essais</t>
        </is>
      </c>
    </row>
    <row r="36">
      <c r="A36" s="6" t="inlineStr">
        <is>
          <t>Repères</t>
        </is>
      </c>
      <c r="C36" s="34" t="inlineStr">
        <is>
          <t>Taux de hook Meta : viser &gt; 25 % · CTR lien Meta : viser &gt; 1 % · CTR Google Search : viser &gt; 4 %</t>
        </is>
      </c>
    </row>
  </sheetData>
  <conditionalFormatting sqref="K4:K29">
    <cfRule type="cellIs" priority="1" operator="lessThan" dxfId="1">
      <formula>0.25</formula>
    </cfRule>
  </conditionalFormatting>
  <conditionalFormatting sqref="O4:O29">
    <cfRule type="expression" priority="2" dxfId="2">
      <formula>AND(O4&lt;&gt;"",O4&gt;'Hypothèses'!$B$11)</formula>
    </cfRule>
    <cfRule type="expression" priority="3" dxfId="3">
      <formula>AND(O4&lt;&gt;"",O4&lt;='Hypothèses'!$B$11)</formula>
    </cfRule>
  </conditionalFormatting>
  <dataValidations count="1">
    <dataValidation sqref="B4 B5 B6 B7 B8 B9 B10 B11 B12 B13 B14 B15 B16 B17 B18 B19 B20 B21 B22 B23 B24 B25 B26 B27 B28 B29" showDropDown="0" showInputMessage="0" showErrorMessage="0" allowBlank="0" type="list">
      <formula1>"Meta,Google"</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J14"/>
  <sheetViews>
    <sheetView showGridLines="0" workbookViewId="0">
      <pane ySplit="4" topLeftCell="A5" activePane="bottomLeft" state="frozen"/>
      <selection pane="bottomLeft" activeCell="A1" sqref="A1"/>
    </sheetView>
  </sheetViews>
  <sheetFormatPr baseColWidth="8" defaultRowHeight="15"/>
  <cols>
    <col width="4" customWidth="1" min="1" max="1"/>
    <col width="16" customWidth="1" min="2" max="2"/>
    <col width="34" customWidth="1" min="3" max="3"/>
    <col width="18" customWidth="1" min="4" max="4"/>
    <col width="70" customWidth="1" min="5" max="5"/>
    <col width="30" customWidth="1" min="6" max="6"/>
    <col width="26" customWidth="1" min="7" max="7"/>
    <col width="16" customWidth="1" min="8" max="8"/>
    <col width="60" customWidth="1" min="9" max="9"/>
    <col width="9" customWidth="1" min="10" max="10"/>
  </cols>
  <sheetData>
    <row r="1">
      <c r="A1" s="1" t="inlineStr">
        <is>
          <t>Annonces Meta — textes prêts à coller (Facebook + Instagram)</t>
        </is>
      </c>
    </row>
    <row r="2">
      <c r="A2" s="34" t="inlineStr">
        <is>
          <t>Rappel : 9:16 pour Reels/Stories + 4:5 pour le fil, dans la même annonce (« personnaliser le visuel par placement »).</t>
        </is>
      </c>
    </row>
    <row r="4" ht="32" customHeight="1">
      <c r="A4" s="10" t="inlineStr">
        <is>
          <t>#</t>
        </is>
      </c>
      <c r="B4" s="10" t="inlineStr">
        <is>
          <t>Campagne</t>
        </is>
      </c>
      <c r="C4" s="10" t="inlineStr">
        <is>
          <t>Vidéo (fichier)</t>
        </is>
      </c>
      <c r="D4" s="10" t="inlineStr">
        <is>
          <t>Angle</t>
        </is>
      </c>
      <c r="E4" s="10" t="inlineStr">
        <is>
          <t>Texte principal</t>
        </is>
      </c>
      <c r="F4" s="10" t="inlineStr">
        <is>
          <t>Titre (≤ 40 car.)</t>
        </is>
      </c>
      <c r="G4" s="10" t="inlineStr">
        <is>
          <t>Description</t>
        </is>
      </c>
      <c r="H4" s="10" t="inlineStr">
        <is>
          <t>Bouton</t>
        </is>
      </c>
      <c r="I4" s="10" t="inlineStr">
        <is>
          <t>Lien avec UTM</t>
        </is>
      </c>
      <c r="J4" s="10" t="inlineStr">
        <is>
          <t>Nb car. titre</t>
        </is>
      </c>
    </row>
    <row r="5" ht="190" customHeight="1">
      <c r="A5" s="5" t="n">
        <v>1</v>
      </c>
      <c r="B5" s="5" t="inlineStr">
        <is>
          <t>A – Acquisition</t>
        </is>
      </c>
      <c r="C5" s="5" t="inlineStr">
        <is>
          <t>voix/voix-03-surcharge.mp4</t>
        </is>
      </c>
      <c r="D5" s="5" t="inlineStr">
        <is>
          <t>Surcharge (10 s)</t>
        </is>
      </c>
      <c r="E5" s="5" t="inlineStr">
        <is>
          <t>Conseiller immo, surchargé ?
Appels manqués, relances oubliées, dossiers incomplets… LIMO s'en occupe pour toi.
✅ Relances automatiques
✅ Dossiers suivis jusqu'au notaire
✅ Estimations et annonces en quelques minutes
Essai gratuit 14 jours, sans carte bancaire.</t>
        </is>
      </c>
      <c r="F5" s="5" t="inlineStr">
        <is>
          <t>LIMO, le bras droit du conseiller</t>
        </is>
      </c>
      <c r="G5" s="5" t="inlineStr">
        <is>
          <t>Dès 49 €/mois · sans engagement</t>
        </is>
      </c>
      <c r="H5" s="5" t="inlineStr">
        <is>
          <t>S'inscrire</t>
        </is>
      </c>
      <c r="I5" s="5" t="inlineStr">
        <is>
          <t>https://app.leadengineai.fr/?utm_source=meta&amp;utm_medium=paid_social&amp;utm_campaign=acquisition&amp;utm_content=surcharge</t>
        </is>
      </c>
      <c r="J5" s="5">
        <f>LEN(F5)</f>
        <v/>
      </c>
    </row>
    <row r="6" ht="190" customHeight="1">
      <c r="A6" s="5" t="n">
        <v>2</v>
      </c>
      <c r="B6" s="5" t="inlineStr">
        <is>
          <t>A – Acquisition</t>
        </is>
      </c>
      <c r="C6" s="5" t="inlineStr">
        <is>
          <t>voix/voix-01-julien.mp4</t>
        </is>
      </c>
      <c r="D6" s="5" t="inlineStr">
        <is>
          <t>Storytelling (59 s)</t>
        </is>
      </c>
      <c r="E6" s="5" t="inlineStr">
        <is>
          <t>Julien a fait une super estimation. Puis il a oublié de rappeler.
Quelques jours plus tard, un autre panneau était sur la maison.
Le mandat ne se perd pas pendant l'estimation. Il se perd APRÈS.
LIMO garde le fil de chaque vendeur, chaque relance, chaque dossier.
👉 Réserve ta démo de 15 min.</t>
        </is>
      </c>
      <c r="F6" s="5" t="inlineStr">
        <is>
          <t>Ne perds plus un mandat par oubli</t>
        </is>
      </c>
      <c r="G6" s="5" t="inlineStr">
        <is>
          <t>Démo gratuite de 15 min</t>
        </is>
      </c>
      <c r="H6" s="5" t="inlineStr">
        <is>
          <t>Réserver</t>
        </is>
      </c>
      <c r="I6" s="5" t="inlineStr">
        <is>
          <t>https://app.leadengineai.fr/?utm_source=meta&amp;utm_medium=paid_social&amp;utm_campaign=acquisition&amp;utm_content=julien</t>
        </is>
      </c>
      <c r="J6" s="5">
        <f>LEN(F6)</f>
        <v/>
      </c>
    </row>
    <row r="7" ht="190" customHeight="1">
      <c r="A7" s="5" t="n">
        <v>3</v>
      </c>
      <c r="B7" s="5" t="inlineStr">
        <is>
          <t>A – Acquisition</t>
        </is>
      </c>
      <c r="C7" s="5" t="inlineStr">
        <is>
          <t>voix/voix-02-regarde-ca.mp4</t>
        </is>
      </c>
      <c r="D7" s="5" t="inlineStr">
        <is>
          <t>Démo produit (30 s)</t>
        </is>
      </c>
      <c r="E7" s="5" t="inlineStr">
        <is>
          <t>Conseiller immo, regarde ça 👀
Tu demandes « rappelle-moi le bien de M. et Mme T. » → LIMO te sort la fiche complète : documents, diagnostics, propriétaires, estimation.
Et pendant ce temps, il relance tes acquéreurs et ton diagnostiqueur.
Teste-le 14 jours, sans CB.</t>
        </is>
      </c>
      <c r="F7" s="5" t="inlineStr">
        <is>
          <t>Toute ton activité, au même endroit</t>
        </is>
      </c>
      <c r="G7" s="5" t="inlineStr">
        <is>
          <t>Essai gratuit 14 jours</t>
        </is>
      </c>
      <c r="H7" s="5" t="inlineStr">
        <is>
          <t>S'inscrire</t>
        </is>
      </c>
      <c r="I7" s="5" t="inlineStr">
        <is>
          <t>https://app.leadengineai.fr/?utm_source=meta&amp;utm_medium=paid_social&amp;utm_campaign=acquisition&amp;utm_content=regarde-ca</t>
        </is>
      </c>
      <c r="J7" s="5">
        <f>LEN(F7)</f>
        <v/>
      </c>
    </row>
    <row r="8" ht="190" customHeight="1">
      <c r="A8" s="5" t="n">
        <v>4</v>
      </c>
      <c r="B8" s="5" t="inlineStr">
        <is>
          <t>A – Acquisition</t>
        </is>
      </c>
      <c r="C8" s="5" t="inlineStr">
        <is>
          <t>pubs-30s/LIMO-pub30-01-mandats-perdus-9x16.mp4</t>
        </is>
      </c>
      <c r="D8" s="5" t="inlineStr">
        <is>
          <t>Perte de mandats (30 s)</t>
        </is>
      </c>
      <c r="E8" s="5" t="inlineStr">
        <is>
          <t>Combien de mandats as-tu perdus cette année… juste par manque de suivi ?
LIMO relance tes vendeurs au bon moment, prépare tes estimations et garde tous tes dossiers à jour.
Plus de temps sur le terrain, moins de temps sur l'administratif.
Essai gratuit 14 jours, sans carte bancaire.</t>
        </is>
      </c>
      <c r="F8" s="5" t="inlineStr">
        <is>
          <t>Arrête de perdre des mandats</t>
        </is>
      </c>
      <c r="G8" s="5" t="inlineStr">
        <is>
          <t>Dès 49 €/mois</t>
        </is>
      </c>
      <c r="H8" s="5" t="inlineStr">
        <is>
          <t>S'inscrire</t>
        </is>
      </c>
      <c r="I8" s="5" t="inlineStr">
        <is>
          <t>https://app.leadengineai.fr/?utm_source=meta&amp;utm_medium=paid_social&amp;utm_campaign=acquisition&amp;utm_content=mandats-perdus</t>
        </is>
      </c>
      <c r="J8" s="5">
        <f>LEN(F8)</f>
        <v/>
      </c>
    </row>
    <row r="9" ht="190" customHeight="1">
      <c r="A9" s="5" t="n">
        <v>5</v>
      </c>
      <c r="B9" s="5" t="inlineStr">
        <is>
          <t>A – Acquisition</t>
        </is>
      </c>
      <c r="C9" s="5" t="inlineStr">
        <is>
          <t>lifestyle/LIMO-life-02-pov-collegue-9x16.mp4</t>
        </is>
      </c>
      <c r="D9" s="5" t="inlineStr">
        <is>
          <t>POV / humour</t>
        </is>
      </c>
      <c r="E9" s="5" t="inlineStr">
        <is>
          <t>POV : ton collègue a l'air moins débordé que toi… et il rentre plus tôt 😅
Son secret ? LIMO, le bras droit du conseiller immo.
Relances, dossiers, annonces, estimations : c'est fait.
14 jours pour tester, sans CB.</t>
        </is>
      </c>
      <c r="F9" s="5" t="inlineStr">
        <is>
          <t>Son secret ? LIMO.</t>
        </is>
      </c>
      <c r="G9" s="5" t="inlineStr">
        <is>
          <t>Essai gratuit 14 jours</t>
        </is>
      </c>
      <c r="H9" s="5" t="inlineStr">
        <is>
          <t>En savoir plus</t>
        </is>
      </c>
      <c r="I9" s="5" t="inlineStr">
        <is>
          <t>https://app.leadengineai.fr/?utm_source=meta&amp;utm_medium=paid_social&amp;utm_campaign=acquisition&amp;utm_content=pov-collegue</t>
        </is>
      </c>
      <c r="J9" s="5">
        <f>LEN(F9)</f>
        <v/>
      </c>
    </row>
    <row r="10" ht="190" customHeight="1">
      <c r="A10" s="5" t="n">
        <v>6</v>
      </c>
      <c r="B10" s="5" t="inlineStr">
        <is>
          <t>B – Relance</t>
        </is>
      </c>
      <c r="C10" s="5" t="inlineStr">
        <is>
          <t>signatures/sign-01-derriere-chaque-signature.mp4</t>
        </is>
      </c>
      <c r="D10" s="5" t="inlineStr">
        <is>
          <t>Émotion (32 s)</t>
        </is>
      </c>
      <c r="E10" s="5" t="inlineStr">
        <is>
          <t>Le jour de la signature, on oublie tout le reste.
Les appels du soir, les relances, les compromis, les diagnostics, les échanges avec le notaire…
LIMO s'occupe du reste, pour un suivi ultra pro du mandat à la signature.
👉 Réserve ta démo de 15 min.</t>
        </is>
      </c>
      <c r="F10" s="5" t="inlineStr">
        <is>
          <t>Du mandat à la signature, sans oubli</t>
        </is>
      </c>
      <c r="G10" s="5" t="inlineStr">
        <is>
          <t>Démo gratuite de 15 min</t>
        </is>
      </c>
      <c r="H10" s="5" t="inlineStr">
        <is>
          <t>Réserver</t>
        </is>
      </c>
      <c r="I10" s="5" t="inlineStr">
        <is>
          <t>https://app.leadengineai.fr/?utm_source=meta&amp;utm_medium=paid_social&amp;utm_campaign=relance&amp;utm_content=signatures</t>
        </is>
      </c>
      <c r="J10" s="5">
        <f>LEN(F10)</f>
        <v/>
      </c>
    </row>
    <row r="11" ht="190" customHeight="1">
      <c r="A11" s="5" t="n">
        <v>7</v>
      </c>
      <c r="B11" s="5" t="inlineStr">
        <is>
          <t>B – Relance</t>
        </is>
      </c>
      <c r="C11" s="5" t="inlineStr">
        <is>
          <t>cine/LIMO-cine-03-le-calcul-9x16.mp4</t>
        </is>
      </c>
      <c r="D11" s="5" t="inlineStr">
        <is>
          <t>Rationnel (temps/argent)</t>
        </is>
      </c>
      <c r="E11" s="5" t="inlineStr">
        <is>
          <t>Fais le calcul : combien d'heures par semaine passes-tu sur l'administratif ?
LIMO te les rend : relances, dossiers, annonces et estimations automatisés.
Tu as déjà vu LIMO passer. Il ne te reste qu'à l'essayer : 14 jours, sans carte bancaire.</t>
        </is>
      </c>
      <c r="F11" s="5" t="inlineStr">
        <is>
          <t>Récupère tes heures d'admin</t>
        </is>
      </c>
      <c r="G11" s="5" t="inlineStr">
        <is>
          <t>Dès 49 €/mois · sans engagement</t>
        </is>
      </c>
      <c r="H11" s="5" t="inlineStr">
        <is>
          <t>S'inscrire</t>
        </is>
      </c>
      <c r="I11" s="5" t="inlineStr">
        <is>
          <t>https://app.leadengineai.fr/?utm_source=meta&amp;utm_medium=paid_social&amp;utm_campaign=relance&amp;utm_content=le-calcul</t>
        </is>
      </c>
      <c r="J11" s="5">
        <f>LEN(F11)</f>
        <v/>
      </c>
    </row>
    <row r="13">
      <c r="B13" s="6" t="inlineStr">
        <is>
          <t>Réglages campagne A</t>
        </is>
      </c>
      <c r="E13" s="35" t="inlineStr">
        <is>
          <t>Objectif Ventes · Conversion : CompleteRegistration · France · 25-60 ans · ciblage large (Advantage+) · placements Advantage+ · 20 €/jour · ne rien modifier 5-7 jours</t>
        </is>
      </c>
    </row>
    <row r="14">
      <c r="B14" s="6" t="inlineStr">
        <is>
          <t>Réglages campagne B</t>
        </is>
      </c>
      <c r="E14" s="35" t="inlineStr">
        <is>
          <t>Objectif Prospects · Conversion : Lead · Audiences : vidéo vue à 50 % + interactions Page/Insta + visiteurs site 30 j · EXCLURE les inscrits · 5-8 €/jour</t>
        </is>
      </c>
    </row>
  </sheetData>
  <conditionalFormatting sqref="J5:J11">
    <cfRule type="cellIs" priority="1" operator="greaterThan" dxfId="2">
      <formula>40</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0"/>
  <sheetViews>
    <sheetView showGridLines="0" workbookViewId="0">
      <selection activeCell="A1" sqref="A1"/>
    </sheetView>
  </sheetViews>
  <sheetFormatPr baseColWidth="8" defaultRowHeight="15"/>
  <cols>
    <col width="16" customWidth="1" min="1" max="1"/>
    <col width="70" customWidth="1" min="2" max="2"/>
    <col width="9" customWidth="1" min="3" max="3"/>
    <col width="8" customWidth="1" min="4" max="4"/>
    <col width="22" customWidth="1" min="5" max="5"/>
  </cols>
  <sheetData>
    <row r="1">
      <c r="A1" s="1" t="inlineStr">
        <is>
          <t>Google Ads Search — annonce responsive (RSA)</t>
        </is>
      </c>
    </row>
    <row r="2">
      <c r="A2" s="34" t="inlineStr">
        <is>
          <t>Limites Google : titre ≤ 30 caractères · description ≤ 90 · chemin ≤ 15. La colonne « Nb car. » se colore en rouge si ça dépasse.</t>
        </is>
      </c>
    </row>
    <row r="4" ht="32" customHeight="1">
      <c r="A4" s="10" t="inlineStr">
        <is>
          <t>Type</t>
        </is>
      </c>
      <c r="B4" s="10" t="inlineStr">
        <is>
          <t>Texte</t>
        </is>
      </c>
      <c r="C4" s="10" t="inlineStr">
        <is>
          <t>Nb car.</t>
        </is>
      </c>
      <c r="D4" s="10" t="inlineStr">
        <is>
          <t>Limite</t>
        </is>
      </c>
      <c r="E4" s="10" t="inlineStr">
        <is>
          <t>Épingler ?</t>
        </is>
      </c>
    </row>
    <row r="5">
      <c r="A5" s="5" t="inlineStr">
        <is>
          <t>Titre</t>
        </is>
      </c>
      <c r="B5" s="5" t="inlineStr">
        <is>
          <t>LIMO, logiciel immo IA</t>
        </is>
      </c>
      <c r="C5" s="5">
        <f>LEN(B5)</f>
        <v/>
      </c>
      <c r="D5" s="5" t="n">
        <v>30</v>
      </c>
      <c r="E5" s="5" t="inlineStr">
        <is>
          <t>Position 1</t>
        </is>
      </c>
    </row>
    <row r="6">
      <c r="A6" s="5" t="inlineStr">
        <is>
          <t>Titre</t>
        </is>
      </c>
      <c r="B6" s="5" t="inlineStr">
        <is>
          <t>Le bras droit du conseiller</t>
        </is>
      </c>
      <c r="C6" s="5">
        <f>LEN(B6)</f>
        <v/>
      </c>
      <c r="D6" s="5" t="n">
        <v>30</v>
      </c>
      <c r="E6" s="5" t="inlineStr"/>
    </row>
    <row r="7">
      <c r="A7" s="5" t="inlineStr">
        <is>
          <t>Titre</t>
        </is>
      </c>
      <c r="B7" s="5" t="inlineStr">
        <is>
          <t>Essai gratuit 14 jours</t>
        </is>
      </c>
      <c r="C7" s="5">
        <f>LEN(B7)</f>
        <v/>
      </c>
      <c r="D7" s="5" t="n">
        <v>30</v>
      </c>
      <c r="E7" s="5" t="inlineStr"/>
    </row>
    <row r="8">
      <c r="A8" s="5" t="inlineStr">
        <is>
          <t>Titre</t>
        </is>
      </c>
      <c r="B8" s="5" t="inlineStr">
        <is>
          <t>Sans carte bancaire</t>
        </is>
      </c>
      <c r="C8" s="5">
        <f>LEN(B8)</f>
        <v/>
      </c>
      <c r="D8" s="5" t="n">
        <v>30</v>
      </c>
      <c r="E8" s="5" t="inlineStr"/>
    </row>
    <row r="9">
      <c r="A9" s="5" t="inlineStr">
        <is>
          <t>Titre</t>
        </is>
      </c>
      <c r="B9" s="5" t="inlineStr">
        <is>
          <t>Dès 49 €/mois</t>
        </is>
      </c>
      <c r="C9" s="5">
        <f>LEN(B9)</f>
        <v/>
      </c>
      <c r="D9" s="5" t="n">
        <v>30</v>
      </c>
      <c r="E9" s="5" t="inlineStr"/>
    </row>
    <row r="10">
      <c r="A10" s="5" t="inlineStr">
        <is>
          <t>Titre</t>
        </is>
      </c>
      <c r="B10" s="5" t="inlineStr">
        <is>
          <t>Relances vendeurs auto</t>
        </is>
      </c>
      <c r="C10" s="5">
        <f>LEN(B10)</f>
        <v/>
      </c>
      <c r="D10" s="5" t="n">
        <v>30</v>
      </c>
      <c r="E10" s="5" t="inlineStr"/>
    </row>
    <row r="11">
      <c r="A11" s="5" t="inlineStr">
        <is>
          <t>Titre</t>
        </is>
      </c>
      <c r="B11" s="5" t="inlineStr">
        <is>
          <t>Ne perdez plus un mandat</t>
        </is>
      </c>
      <c r="C11" s="5">
        <f>LEN(B11)</f>
        <v/>
      </c>
      <c r="D11" s="5" t="n">
        <v>30</v>
      </c>
      <c r="E11" s="5" t="inlineStr"/>
    </row>
    <row r="12">
      <c r="A12" s="5" t="inlineStr">
        <is>
          <t>Titre</t>
        </is>
      </c>
      <c r="B12" s="5" t="inlineStr">
        <is>
          <t>Dossiers suivis au notaire</t>
        </is>
      </c>
      <c r="C12" s="5">
        <f>LEN(B12)</f>
        <v/>
      </c>
      <c r="D12" s="5" t="n">
        <v>30</v>
      </c>
      <c r="E12" s="5" t="inlineStr"/>
    </row>
    <row r="13">
      <c r="A13" s="5" t="inlineStr">
        <is>
          <t>Titre</t>
        </is>
      </c>
      <c r="B13" s="5" t="inlineStr">
        <is>
          <t>Estimations en 2 minutes</t>
        </is>
      </c>
      <c r="C13" s="5">
        <f>LEN(B13)</f>
        <v/>
      </c>
      <c r="D13" s="5" t="n">
        <v>30</v>
      </c>
      <c r="E13" s="5" t="inlineStr"/>
    </row>
    <row r="14">
      <c r="A14" s="5" t="inlineStr">
        <is>
          <t>Titre</t>
        </is>
      </c>
      <c r="B14" s="5" t="inlineStr">
        <is>
          <t>Annonces rédigées pour vous</t>
        </is>
      </c>
      <c r="C14" s="5">
        <f>LEN(B14)</f>
        <v/>
      </c>
      <c r="D14" s="5" t="n">
        <v>30</v>
      </c>
      <c r="E14" s="5" t="inlineStr"/>
    </row>
    <row r="15">
      <c r="A15" s="5" t="inlineStr">
        <is>
          <t>Titre</t>
        </is>
      </c>
      <c r="B15" s="5" t="inlineStr">
        <is>
          <t>Fait pour les mandataires</t>
        </is>
      </c>
      <c r="C15" s="5">
        <f>LEN(B15)</f>
        <v/>
      </c>
      <c r="D15" s="5" t="n">
        <v>30</v>
      </c>
      <c r="E15" s="5" t="inlineStr"/>
    </row>
    <row r="16">
      <c r="A16" s="5" t="inlineStr">
        <is>
          <t>Titre</t>
        </is>
      </c>
      <c r="B16" s="5" t="inlineStr">
        <is>
          <t>Démo gratuite de 15 min</t>
        </is>
      </c>
      <c r="C16" s="5">
        <f>LEN(B16)</f>
        <v/>
      </c>
      <c r="D16" s="5" t="n">
        <v>30</v>
      </c>
      <c r="E16" s="5" t="inlineStr"/>
    </row>
    <row r="17">
      <c r="A17" s="5" t="inlineStr">
        <is>
          <t>Titre</t>
        </is>
      </c>
      <c r="B17" s="5" t="inlineStr">
        <is>
          <t>Plus de temps sur le terrain</t>
        </is>
      </c>
      <c r="C17" s="5">
        <f>LEN(B17)</f>
        <v/>
      </c>
      <c r="D17" s="5" t="n">
        <v>30</v>
      </c>
      <c r="E17" s="5" t="inlineStr"/>
    </row>
    <row r="18">
      <c r="A18" s="5" t="inlineStr">
        <is>
          <t>Titre</t>
        </is>
      </c>
      <c r="B18" s="5" t="inlineStr">
        <is>
          <t>Tout votre suivi centralisé</t>
        </is>
      </c>
      <c r="C18" s="5">
        <f>LEN(B18)</f>
        <v/>
      </c>
      <c r="D18" s="5" t="n">
        <v>30</v>
      </c>
      <c r="E18" s="5" t="inlineStr"/>
    </row>
    <row r="19">
      <c r="A19" s="5" t="inlineStr">
        <is>
          <t>Titre</t>
        </is>
      </c>
      <c r="B19" s="5" t="inlineStr">
        <is>
          <t>Sans engagement</t>
        </is>
      </c>
      <c r="C19" s="5">
        <f>LEN(B19)</f>
        <v/>
      </c>
      <c r="D19" s="5" t="n">
        <v>30</v>
      </c>
      <c r="E19" s="5" t="inlineStr"/>
    </row>
    <row r="20">
      <c r="A20" s="5" t="inlineStr">
        <is>
          <t>Description</t>
        </is>
      </c>
      <c r="B20" s="5" t="inlineStr">
        <is>
          <t>Relances, dossiers, estimations, annonces : LIMO s'occupe du reste. 14 jours sans CB.</t>
        </is>
      </c>
      <c r="C20" s="5">
        <f>LEN(B20)</f>
        <v/>
      </c>
      <c r="D20" s="5" t="n">
        <v>90</v>
      </c>
      <c r="E20" s="5" t="n"/>
    </row>
    <row r="21">
      <c r="A21" s="5" t="inlineStr">
        <is>
          <t>Description</t>
        </is>
      </c>
      <c r="B21" s="5" t="inlineStr">
        <is>
          <t>Le bras droit des conseillers immobiliers indépendants. Dès 49 €/mois, sans engagement.</t>
        </is>
      </c>
      <c r="C21" s="5">
        <f>LEN(B21)</f>
        <v/>
      </c>
      <c r="D21" s="5" t="n">
        <v>90</v>
      </c>
      <c r="E21" s="5" t="n"/>
    </row>
    <row r="22">
      <c r="A22" s="5" t="inlineStr">
        <is>
          <t>Description</t>
        </is>
      </c>
      <c r="B22" s="5" t="inlineStr">
        <is>
          <t>Ne perdez plus un vendeur par oubli : LIMO vous rappelle qui relancer, quand et comment.</t>
        </is>
      </c>
      <c r="C22" s="5">
        <f>LEN(B22)</f>
        <v/>
      </c>
      <c r="D22" s="5" t="n">
        <v>90</v>
      </c>
      <c r="E22" s="5" t="n"/>
    </row>
    <row r="23">
      <c r="A23" s="5" t="inlineStr">
        <is>
          <t>Description</t>
        </is>
      </c>
      <c r="B23" s="5" t="inlineStr">
        <is>
          <t>Réservez une démo de 15 min et découvrez comment gagner des heures d'admin chaque semaine.</t>
        </is>
      </c>
      <c r="C23" s="5">
        <f>LEN(B23)</f>
        <v/>
      </c>
      <c r="D23" s="5" t="n">
        <v>90</v>
      </c>
      <c r="E23" s="5" t="n"/>
    </row>
    <row r="24">
      <c r="A24" s="5" t="inlineStr">
        <is>
          <t>Chemin d'URL</t>
        </is>
      </c>
      <c r="B24" s="5" t="inlineStr">
        <is>
          <t>logiciel</t>
        </is>
      </c>
      <c r="C24" s="5">
        <f>LEN(B24)</f>
        <v/>
      </c>
      <c r="D24" s="5" t="n">
        <v>15</v>
      </c>
      <c r="E24" s="5" t="n"/>
    </row>
    <row r="25">
      <c r="A25" s="5" t="inlineStr">
        <is>
          <t>Chemin d'URL</t>
        </is>
      </c>
      <c r="B25" s="5" t="inlineStr">
        <is>
          <t>conseiller-immo</t>
        </is>
      </c>
      <c r="C25" s="5">
        <f>LEN(B25)</f>
        <v/>
      </c>
      <c r="D25" s="5" t="n">
        <v>15</v>
      </c>
      <c r="E25" s="5" t="n"/>
    </row>
    <row r="26">
      <c r="A26" s="5" t="inlineStr">
        <is>
          <t>URL finale</t>
        </is>
      </c>
      <c r="B26" s="5" t="inlineStr">
        <is>
          <t>https://app.leadengineai.fr/?utm_source=google&amp;utm_medium=cpc&amp;utm_campaign=search-{_campagne}&amp;utm_term={keyword}</t>
        </is>
      </c>
      <c r="C26" s="5" t="n"/>
      <c r="D26" s="5" t="n"/>
      <c r="E26" s="5" t="inlineStr">
        <is>
          <t>Remplace {_campagne} par un paramètre personnalisé ou le nom de campagne</t>
        </is>
      </c>
    </row>
    <row r="28">
      <c r="A28" s="6" t="inlineStr">
        <is>
          <t>EXTENSIONS</t>
        </is>
      </c>
    </row>
    <row r="29">
      <c r="A29" s="36" t="inlineStr">
        <is>
          <t>Type</t>
        </is>
      </c>
      <c r="B29" s="36" t="inlineStr">
        <is>
          <t>Texte</t>
        </is>
      </c>
      <c r="C29" s="36" t="inlineStr">
        <is>
          <t>Nb car.</t>
        </is>
      </c>
      <c r="D29" s="36" t="inlineStr">
        <is>
          <t>Limite</t>
        </is>
      </c>
      <c r="E29" s="36" t="inlineStr">
        <is>
          <t>Détail / URL</t>
        </is>
      </c>
    </row>
    <row r="30">
      <c r="A30" s="5" t="inlineStr">
        <is>
          <t>Lien annexe</t>
        </is>
      </c>
      <c r="B30" s="5" t="inlineStr">
        <is>
          <t>Réserver une démo</t>
        </is>
      </c>
      <c r="C30" s="5">
        <f>LEN(B30)</f>
        <v/>
      </c>
      <c r="D30" s="5" t="n">
        <v>25</v>
      </c>
      <c r="E30" s="5" t="inlineStr">
        <is>
          <t>Démo de 15 min en visio · https://app.leadengineai.fr/demo</t>
        </is>
      </c>
    </row>
    <row r="31">
      <c r="A31" s="5" t="inlineStr">
        <is>
          <t>Lien annexe</t>
        </is>
      </c>
      <c r="B31" s="5" t="inlineStr">
        <is>
          <t>Tarifs</t>
        </is>
      </c>
      <c r="C31" s="5">
        <f>LEN(B31)</f>
        <v/>
      </c>
      <c r="D31" s="5" t="n">
        <v>25</v>
      </c>
      <c r="E31" s="5" t="inlineStr">
        <is>
          <t>Dès 49 €/mois, sans engagement · https://app.leadengineai.fr/tarifs</t>
        </is>
      </c>
    </row>
    <row r="32">
      <c r="A32" s="5" t="inlineStr">
        <is>
          <t>Lien annexe</t>
        </is>
      </c>
      <c r="B32" s="5" t="inlineStr">
        <is>
          <t>Fonctionnalités</t>
        </is>
      </c>
      <c r="C32" s="5">
        <f>LEN(B32)</f>
        <v/>
      </c>
      <c r="D32" s="5" t="n">
        <v>25</v>
      </c>
      <c r="E32" s="5" t="inlineStr">
        <is>
          <t>Relances, dossiers, estimations · https://app.leadengineai.fr/fonctionnalites</t>
        </is>
      </c>
    </row>
    <row r="33">
      <c r="A33" s="5" t="inlineStr">
        <is>
          <t>Lien annexe</t>
        </is>
      </c>
      <c r="B33" s="5" t="inlineStr">
        <is>
          <t>Essai gratuit 14 jours</t>
        </is>
      </c>
      <c r="C33" s="5">
        <f>LEN(B33)</f>
        <v/>
      </c>
      <c r="D33" s="5" t="n">
        <v>25</v>
      </c>
      <c r="E33" s="5" t="inlineStr">
        <is>
          <t>Sans carte bancaire · https://app.leadengineai.fr/inscription</t>
        </is>
      </c>
    </row>
    <row r="34">
      <c r="A34" s="5" t="inlineStr">
        <is>
          <t>Accroche</t>
        </is>
      </c>
      <c r="B34" s="5" t="inlineStr">
        <is>
          <t>Sans carte bancaire</t>
        </is>
      </c>
      <c r="C34" s="5">
        <f>LEN(B34)</f>
        <v/>
      </c>
      <c r="D34" s="5" t="n">
        <v>25</v>
      </c>
      <c r="E34" s="5" t="inlineStr"/>
    </row>
    <row r="35">
      <c r="A35" s="5" t="inlineStr">
        <is>
          <t>Accroche</t>
        </is>
      </c>
      <c r="B35" s="5" t="inlineStr">
        <is>
          <t>Sans engagement</t>
        </is>
      </c>
      <c r="C35" s="5">
        <f>LEN(B35)</f>
        <v/>
      </c>
      <c r="D35" s="5" t="n">
        <v>25</v>
      </c>
      <c r="E35" s="5" t="inlineStr"/>
    </row>
    <row r="36">
      <c r="A36" s="5" t="inlineStr">
        <is>
          <t>Accroche</t>
        </is>
      </c>
      <c r="B36" s="5" t="inlineStr">
        <is>
          <t>Support en français</t>
        </is>
      </c>
      <c r="C36" s="5">
        <f>LEN(B36)</f>
        <v/>
      </c>
      <c r="D36" s="5" t="n">
        <v>25</v>
      </c>
      <c r="E36" s="5" t="inlineStr"/>
    </row>
    <row r="37">
      <c r="A37" s="5" t="inlineStr">
        <is>
          <t>Accroche</t>
        </is>
      </c>
      <c r="B37" s="5" t="inlineStr">
        <is>
          <t>Prêt en 2 minutes</t>
        </is>
      </c>
      <c r="C37" s="5">
        <f>LEN(B37)</f>
        <v/>
      </c>
      <c r="D37" s="5" t="n">
        <v>25</v>
      </c>
      <c r="E37" s="5" t="inlineStr"/>
    </row>
    <row r="38">
      <c r="A38" s="5" t="inlineStr">
        <is>
          <t>Extrait structuré (Services)</t>
        </is>
      </c>
      <c r="B38" s="5" t="inlineStr">
        <is>
          <t>Relances, Estimations, Annonces, Dossiers, Suivi notaire</t>
        </is>
      </c>
      <c r="C38" s="5" t="inlineStr">
        <is>
          <t>—</t>
        </is>
      </c>
      <c r="D38" s="5" t="n">
        <v>25</v>
      </c>
      <c r="E38" s="5" t="inlineStr">
        <is>
          <t>Chaque valeur ≤ 25 car.</t>
        </is>
      </c>
    </row>
    <row r="40">
      <c r="A40" s="6" t="inlineStr">
        <is>
          <t>⚠️</t>
        </is>
      </c>
      <c r="B40" s="37" t="inlineStr">
        <is>
          <t>Les pages /demo, /tarifs, /fonctionnalites, /inscription sont des suggestions : remplace-les par les vraies URL de ton site (ou la page d'accueil).</t>
        </is>
      </c>
    </row>
  </sheetData>
  <conditionalFormatting sqref="C5:C26">
    <cfRule type="expression" priority="1" dxfId="2">
      <formula>AND(C5&lt;&gt;"",C5&gt;D5)</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5"/>
  <sheetViews>
    <sheetView showGridLines="0" workbookViewId="0">
      <pane ySplit="4" topLeftCell="A5" activePane="bottomLeft" state="frozen"/>
      <selection pane="bottomLeft" activeCell="A1" sqref="A1"/>
    </sheetView>
  </sheetViews>
  <sheetFormatPr baseColWidth="8" defaultRowHeight="15"/>
  <cols>
    <col width="26" customWidth="1" min="1" max="1"/>
    <col width="46" customWidth="1" min="2" max="2"/>
    <col width="12" customWidth="1" min="3" max="3"/>
    <col width="18" customWidth="1" min="4" max="4"/>
    <col width="14" customWidth="1" min="5" max="5"/>
  </cols>
  <sheetData>
    <row r="1">
      <c r="A1" s="1" t="inlineStr">
        <is>
          <t>Mots-clés Google Search — campagne « LIMO – Search »</t>
        </is>
      </c>
    </row>
    <row r="2">
      <c r="A2" s="34" t="inlineStr">
        <is>
          <t>[exact] = correspondance exacte · "expression" = expression. Commence avec ça, pas de requête large au départ.</t>
        </is>
      </c>
    </row>
    <row r="4" ht="32" customHeight="1">
      <c r="A4" s="10" t="inlineStr">
        <is>
          <t>Groupe d'annonces</t>
        </is>
      </c>
      <c r="B4" s="10" t="inlineStr">
        <is>
          <t>Mot-clé</t>
        </is>
      </c>
      <c r="C4" s="10" t="inlineStr">
        <is>
          <t>Type</t>
        </is>
      </c>
      <c r="D4" s="10" t="inlineStr">
        <is>
          <t>CPC max départ (€)</t>
        </is>
      </c>
      <c r="E4" s="10" t="inlineStr">
        <is>
          <t>Statut</t>
        </is>
      </c>
    </row>
    <row r="5">
      <c r="A5" s="5" t="inlineStr">
        <is>
          <t>Logiciel métier</t>
        </is>
      </c>
      <c r="B5" s="5" t="inlineStr">
        <is>
          <t>logiciel agent immobilier</t>
        </is>
      </c>
      <c r="C5" s="5" t="inlineStr">
        <is>
          <t>Exact</t>
        </is>
      </c>
      <c r="D5" s="38" t="n">
        <v>2</v>
      </c>
      <c r="E5" s="11" t="inlineStr">
        <is>
          <t>Actif</t>
        </is>
      </c>
    </row>
    <row r="6">
      <c r="A6" s="5" t="inlineStr">
        <is>
          <t>Logiciel métier</t>
        </is>
      </c>
      <c r="B6" s="5" t="inlineStr">
        <is>
          <t>logiciel agent immobilier</t>
        </is>
      </c>
      <c r="C6" s="5" t="inlineStr">
        <is>
          <t>Expression</t>
        </is>
      </c>
      <c r="D6" s="38" t="n">
        <v>2</v>
      </c>
      <c r="E6" s="11" t="inlineStr">
        <is>
          <t>Actif</t>
        </is>
      </c>
    </row>
    <row r="7">
      <c r="A7" s="5" t="inlineStr">
        <is>
          <t>Logiciel métier</t>
        </is>
      </c>
      <c r="B7" s="5" t="inlineStr">
        <is>
          <t>logiciel conseiller immobilier</t>
        </is>
      </c>
      <c r="C7" s="5" t="inlineStr">
        <is>
          <t>Exact</t>
        </is>
      </c>
      <c r="D7" s="38" t="n">
        <v>2</v>
      </c>
      <c r="E7" s="11" t="inlineStr">
        <is>
          <t>Actif</t>
        </is>
      </c>
    </row>
    <row r="8">
      <c r="A8" s="5" t="inlineStr">
        <is>
          <t>Logiciel métier</t>
        </is>
      </c>
      <c r="B8" s="5" t="inlineStr">
        <is>
          <t>logiciel conseiller immobilier</t>
        </is>
      </c>
      <c r="C8" s="5" t="inlineStr">
        <is>
          <t>Expression</t>
        </is>
      </c>
      <c r="D8" s="38" t="n">
        <v>2</v>
      </c>
      <c r="E8" s="11" t="inlineStr">
        <is>
          <t>Actif</t>
        </is>
      </c>
    </row>
    <row r="9">
      <c r="A9" s="5" t="inlineStr">
        <is>
          <t>Logiciel métier</t>
        </is>
      </c>
      <c r="B9" s="5" t="inlineStr">
        <is>
          <t>logiciel mandataire immobilier</t>
        </is>
      </c>
      <c r="C9" s="5" t="inlineStr">
        <is>
          <t>Exact</t>
        </is>
      </c>
      <c r="D9" s="38" t="n">
        <v>2</v>
      </c>
      <c r="E9" s="11" t="inlineStr">
        <is>
          <t>Actif</t>
        </is>
      </c>
    </row>
    <row r="10">
      <c r="A10" s="5" t="inlineStr">
        <is>
          <t>Logiciel métier</t>
        </is>
      </c>
      <c r="B10" s="5" t="inlineStr">
        <is>
          <t>logiciel mandataire immobilier</t>
        </is>
      </c>
      <c r="C10" s="5" t="inlineStr">
        <is>
          <t>Expression</t>
        </is>
      </c>
      <c r="D10" s="38" t="n">
        <v>2</v>
      </c>
      <c r="E10" s="11" t="inlineStr">
        <is>
          <t>Actif</t>
        </is>
      </c>
    </row>
    <row r="11">
      <c r="A11" s="5" t="inlineStr">
        <is>
          <t>Logiciel métier</t>
        </is>
      </c>
      <c r="B11" s="5" t="inlineStr">
        <is>
          <t>crm immobilier</t>
        </is>
      </c>
      <c r="C11" s="5" t="inlineStr">
        <is>
          <t>Exact</t>
        </is>
      </c>
      <c r="D11" s="38" t="n">
        <v>2</v>
      </c>
      <c r="E11" s="11" t="inlineStr">
        <is>
          <t>Actif</t>
        </is>
      </c>
    </row>
    <row r="12">
      <c r="A12" s="5" t="inlineStr">
        <is>
          <t>Logiciel métier</t>
        </is>
      </c>
      <c r="B12" s="5" t="inlineStr">
        <is>
          <t>crm immobilier</t>
        </is>
      </c>
      <c r="C12" s="5" t="inlineStr">
        <is>
          <t>Expression</t>
        </is>
      </c>
      <c r="D12" s="38" t="n">
        <v>2</v>
      </c>
      <c r="E12" s="11" t="inlineStr">
        <is>
          <t>Actif</t>
        </is>
      </c>
    </row>
    <row r="13">
      <c r="A13" s="5" t="inlineStr">
        <is>
          <t>Logiciel métier</t>
        </is>
      </c>
      <c r="B13" s="5" t="inlineStr">
        <is>
          <t>crm agent immobilier</t>
        </is>
      </c>
      <c r="C13" s="5" t="inlineStr">
        <is>
          <t>Exact</t>
        </is>
      </c>
      <c r="D13" s="38" t="n">
        <v>2</v>
      </c>
      <c r="E13" s="11" t="inlineStr">
        <is>
          <t>Actif</t>
        </is>
      </c>
    </row>
    <row r="14">
      <c r="A14" s="5" t="inlineStr">
        <is>
          <t>Logiciel métier</t>
        </is>
      </c>
      <c r="B14" s="5" t="inlineStr">
        <is>
          <t>crm agent immobilier</t>
        </is>
      </c>
      <c r="C14" s="5" t="inlineStr">
        <is>
          <t>Expression</t>
        </is>
      </c>
      <c r="D14" s="38" t="n">
        <v>2</v>
      </c>
      <c r="E14" s="11" t="inlineStr">
        <is>
          <t>Actif</t>
        </is>
      </c>
    </row>
    <row r="15">
      <c r="A15" s="5" t="inlineStr">
        <is>
          <t>Logiciel métier</t>
        </is>
      </c>
      <c r="B15" s="5" t="inlineStr">
        <is>
          <t>logiciel immobilier indépendant</t>
        </is>
      </c>
      <c r="C15" s="5" t="inlineStr">
        <is>
          <t>Exact</t>
        </is>
      </c>
      <c r="D15" s="38" t="n">
        <v>2</v>
      </c>
      <c r="E15" s="11" t="inlineStr">
        <is>
          <t>Actif</t>
        </is>
      </c>
    </row>
    <row r="16">
      <c r="A16" s="5" t="inlineStr">
        <is>
          <t>Logiciel métier</t>
        </is>
      </c>
      <c r="B16" s="5" t="inlineStr">
        <is>
          <t>logiciel immobilier indépendant</t>
        </is>
      </c>
      <c r="C16" s="5" t="inlineStr">
        <is>
          <t>Expression</t>
        </is>
      </c>
      <c r="D16" s="38" t="n">
        <v>2</v>
      </c>
      <c r="E16" s="11" t="inlineStr">
        <is>
          <t>Actif</t>
        </is>
      </c>
    </row>
    <row r="17">
      <c r="A17" s="5" t="inlineStr">
        <is>
          <t>Logiciel métier</t>
        </is>
      </c>
      <c r="B17" s="5" t="inlineStr">
        <is>
          <t>outil conseiller immobilier</t>
        </is>
      </c>
      <c r="C17" s="5" t="inlineStr">
        <is>
          <t>Exact</t>
        </is>
      </c>
      <c r="D17" s="38" t="n">
        <v>2</v>
      </c>
      <c r="E17" s="11" t="inlineStr">
        <is>
          <t>Actif</t>
        </is>
      </c>
    </row>
    <row r="18">
      <c r="A18" s="5" t="inlineStr">
        <is>
          <t>Logiciel métier</t>
        </is>
      </c>
      <c r="B18" s="5" t="inlineStr">
        <is>
          <t>outil conseiller immobilier</t>
        </is>
      </c>
      <c r="C18" s="5" t="inlineStr">
        <is>
          <t>Expression</t>
        </is>
      </c>
      <c r="D18" s="38" t="n">
        <v>2</v>
      </c>
      <c r="E18" s="11" t="inlineStr">
        <is>
          <t>Actif</t>
        </is>
      </c>
    </row>
    <row r="19">
      <c r="A19" s="5" t="inlineStr">
        <is>
          <t>Logiciel métier</t>
        </is>
      </c>
      <c r="B19" s="5" t="inlineStr">
        <is>
          <t>application agent immobilier</t>
        </is>
      </c>
      <c r="C19" s="5" t="inlineStr">
        <is>
          <t>Exact</t>
        </is>
      </c>
      <c r="D19" s="38" t="n">
        <v>2</v>
      </c>
      <c r="E19" s="11" t="inlineStr">
        <is>
          <t>Actif</t>
        </is>
      </c>
    </row>
    <row r="20">
      <c r="A20" s="5" t="inlineStr">
        <is>
          <t>Logiciel métier</t>
        </is>
      </c>
      <c r="B20" s="5" t="inlineStr">
        <is>
          <t>application agent immobilier</t>
        </is>
      </c>
      <c r="C20" s="5" t="inlineStr">
        <is>
          <t>Expression</t>
        </is>
      </c>
      <c r="D20" s="38" t="n">
        <v>2</v>
      </c>
      <c r="E20" s="11" t="inlineStr">
        <is>
          <t>Actif</t>
        </is>
      </c>
    </row>
    <row r="21">
      <c r="A21" s="5" t="inlineStr">
        <is>
          <t>Logiciel métier</t>
        </is>
      </c>
      <c r="B21" s="5" t="inlineStr">
        <is>
          <t>logiciel gestion mandats immobilier</t>
        </is>
      </c>
      <c r="C21" s="5" t="inlineStr">
        <is>
          <t>Exact</t>
        </is>
      </c>
      <c r="D21" s="38" t="n">
        <v>2</v>
      </c>
      <c r="E21" s="11" t="inlineStr">
        <is>
          <t>Actif</t>
        </is>
      </c>
    </row>
    <row r="22">
      <c r="A22" s="5" t="inlineStr">
        <is>
          <t>Logiciel métier</t>
        </is>
      </c>
      <c r="B22" s="5" t="inlineStr">
        <is>
          <t>logiciel gestion mandats immobilier</t>
        </is>
      </c>
      <c r="C22" s="5" t="inlineStr">
        <is>
          <t>Expression</t>
        </is>
      </c>
      <c r="D22" s="38" t="n">
        <v>2</v>
      </c>
      <c r="E22" s="11" t="inlineStr">
        <is>
          <t>Actif</t>
        </is>
      </c>
    </row>
    <row r="23">
      <c r="A23" s="5" t="inlineStr">
        <is>
          <t>Logiciel métier</t>
        </is>
      </c>
      <c r="B23" s="5" t="inlineStr">
        <is>
          <t>logiciel suivi vendeurs immobilier</t>
        </is>
      </c>
      <c r="C23" s="5" t="inlineStr">
        <is>
          <t>Exact</t>
        </is>
      </c>
      <c r="D23" s="38" t="n">
        <v>2</v>
      </c>
      <c r="E23" s="11" t="inlineStr">
        <is>
          <t>Actif</t>
        </is>
      </c>
    </row>
    <row r="24">
      <c r="A24" s="5" t="inlineStr">
        <is>
          <t>Logiciel métier</t>
        </is>
      </c>
      <c r="B24" s="5" t="inlineStr">
        <is>
          <t>logiciel suivi vendeurs immobilier</t>
        </is>
      </c>
      <c r="C24" s="5" t="inlineStr">
        <is>
          <t>Expression</t>
        </is>
      </c>
      <c r="D24" s="38" t="n">
        <v>2</v>
      </c>
      <c r="E24" s="11" t="inlineStr">
        <is>
          <t>Actif</t>
        </is>
      </c>
    </row>
    <row r="25">
      <c r="A25" s="5" t="inlineStr">
        <is>
          <t>Douleurs</t>
        </is>
      </c>
      <c r="B25" s="5" t="inlineStr">
        <is>
          <t>relance vendeur immobilier</t>
        </is>
      </c>
      <c r="C25" s="5" t="inlineStr">
        <is>
          <t>Exact</t>
        </is>
      </c>
      <c r="D25" s="38" t="n">
        <v>2</v>
      </c>
      <c r="E25" s="11" t="inlineStr">
        <is>
          <t>Actif</t>
        </is>
      </c>
    </row>
    <row r="26">
      <c r="A26" s="5" t="inlineStr">
        <is>
          <t>Douleurs</t>
        </is>
      </c>
      <c r="B26" s="5" t="inlineStr">
        <is>
          <t>relance vendeur immobilier</t>
        </is>
      </c>
      <c r="C26" s="5" t="inlineStr">
        <is>
          <t>Expression</t>
        </is>
      </c>
      <c r="D26" s="38" t="n">
        <v>2</v>
      </c>
      <c r="E26" s="11" t="inlineStr">
        <is>
          <t>Actif</t>
        </is>
      </c>
    </row>
    <row r="27">
      <c r="A27" s="5" t="inlineStr">
        <is>
          <t>Douleurs</t>
        </is>
      </c>
      <c r="B27" s="5" t="inlineStr">
        <is>
          <t>suivi mandat immobilier</t>
        </is>
      </c>
      <c r="C27" s="5" t="inlineStr">
        <is>
          <t>Exact</t>
        </is>
      </c>
      <c r="D27" s="38" t="n">
        <v>2</v>
      </c>
      <c r="E27" s="11" t="inlineStr">
        <is>
          <t>Actif</t>
        </is>
      </c>
    </row>
    <row r="28">
      <c r="A28" s="5" t="inlineStr">
        <is>
          <t>Douleurs</t>
        </is>
      </c>
      <c r="B28" s="5" t="inlineStr">
        <is>
          <t>suivi mandat immobilier</t>
        </is>
      </c>
      <c r="C28" s="5" t="inlineStr">
        <is>
          <t>Expression</t>
        </is>
      </c>
      <c r="D28" s="38" t="n">
        <v>2</v>
      </c>
      <c r="E28" s="11" t="inlineStr">
        <is>
          <t>Actif</t>
        </is>
      </c>
    </row>
    <row r="29">
      <c r="A29" s="5" t="inlineStr">
        <is>
          <t>Douleurs</t>
        </is>
      </c>
      <c r="B29" s="5" t="inlineStr">
        <is>
          <t>logiciel estimation immobilière</t>
        </is>
      </c>
      <c r="C29" s="5" t="inlineStr">
        <is>
          <t>Exact</t>
        </is>
      </c>
      <c r="D29" s="38" t="n">
        <v>2</v>
      </c>
      <c r="E29" s="11" t="inlineStr">
        <is>
          <t>Actif</t>
        </is>
      </c>
    </row>
    <row r="30">
      <c r="A30" s="5" t="inlineStr">
        <is>
          <t>Douleurs</t>
        </is>
      </c>
      <c r="B30" s="5" t="inlineStr">
        <is>
          <t>logiciel estimation immobilière</t>
        </is>
      </c>
      <c r="C30" s="5" t="inlineStr">
        <is>
          <t>Expression</t>
        </is>
      </c>
      <c r="D30" s="38" t="n">
        <v>2</v>
      </c>
      <c r="E30" s="11" t="inlineStr">
        <is>
          <t>Actif</t>
        </is>
      </c>
    </row>
    <row r="31">
      <c r="A31" s="5" t="inlineStr">
        <is>
          <t>Douleurs</t>
        </is>
      </c>
      <c r="B31" s="5" t="inlineStr">
        <is>
          <t>rédiger annonce immobilière</t>
        </is>
      </c>
      <c r="C31" s="5" t="inlineStr">
        <is>
          <t>Exact</t>
        </is>
      </c>
      <c r="D31" s="38" t="n">
        <v>2</v>
      </c>
      <c r="E31" s="11" t="inlineStr">
        <is>
          <t>Actif</t>
        </is>
      </c>
    </row>
    <row r="32">
      <c r="A32" s="5" t="inlineStr">
        <is>
          <t>Douleurs</t>
        </is>
      </c>
      <c r="B32" s="5" t="inlineStr">
        <is>
          <t>rédiger annonce immobilière</t>
        </is>
      </c>
      <c r="C32" s="5" t="inlineStr">
        <is>
          <t>Expression</t>
        </is>
      </c>
      <c r="D32" s="38" t="n">
        <v>2</v>
      </c>
      <c r="E32" s="11" t="inlineStr">
        <is>
          <t>Actif</t>
        </is>
      </c>
    </row>
    <row r="33">
      <c r="A33" s="5" t="inlineStr">
        <is>
          <t>Douleurs</t>
        </is>
      </c>
      <c r="B33" s="5" t="inlineStr">
        <is>
          <t>outil relance prospects immobilier</t>
        </is>
      </c>
      <c r="C33" s="5" t="inlineStr">
        <is>
          <t>Exact</t>
        </is>
      </c>
      <c r="D33" s="38" t="n">
        <v>2</v>
      </c>
      <c r="E33" s="11" t="inlineStr">
        <is>
          <t>Actif</t>
        </is>
      </c>
    </row>
    <row r="34">
      <c r="A34" s="5" t="inlineStr">
        <is>
          <t>Douleurs</t>
        </is>
      </c>
      <c r="B34" s="5" t="inlineStr">
        <is>
          <t>outil relance prospects immobilier</t>
        </is>
      </c>
      <c r="C34" s="5" t="inlineStr">
        <is>
          <t>Expression</t>
        </is>
      </c>
      <c r="D34" s="38" t="n">
        <v>2</v>
      </c>
      <c r="E34" s="11" t="inlineStr">
        <is>
          <t>Actif</t>
        </is>
      </c>
    </row>
    <row r="35">
      <c r="A35" s="5" t="inlineStr">
        <is>
          <t>Douleurs</t>
        </is>
      </c>
      <c r="B35" s="5" t="inlineStr">
        <is>
          <t>organisation agent immobilier</t>
        </is>
      </c>
      <c r="C35" s="5" t="inlineStr">
        <is>
          <t>Exact</t>
        </is>
      </c>
      <c r="D35" s="38" t="n">
        <v>2</v>
      </c>
      <c r="E35" s="11" t="inlineStr">
        <is>
          <t>Actif</t>
        </is>
      </c>
    </row>
    <row r="36">
      <c r="A36" s="5" t="inlineStr">
        <is>
          <t>Douleurs</t>
        </is>
      </c>
      <c r="B36" s="5" t="inlineStr">
        <is>
          <t>organisation agent immobilier</t>
        </is>
      </c>
      <c r="C36" s="5" t="inlineStr">
        <is>
          <t>Expression</t>
        </is>
      </c>
      <c r="D36" s="38" t="n">
        <v>2</v>
      </c>
      <c r="E36" s="11" t="inlineStr">
        <is>
          <t>Actif</t>
        </is>
      </c>
    </row>
    <row r="37">
      <c r="A37" s="5" t="inlineStr">
        <is>
          <t>Douleurs</t>
        </is>
      </c>
      <c r="B37" s="5" t="inlineStr">
        <is>
          <t>gestion dossier vente immobilière</t>
        </is>
      </c>
      <c r="C37" s="5" t="inlineStr">
        <is>
          <t>Exact</t>
        </is>
      </c>
      <c r="D37" s="38" t="n">
        <v>2</v>
      </c>
      <c r="E37" s="11" t="inlineStr">
        <is>
          <t>Actif</t>
        </is>
      </c>
    </row>
    <row r="38">
      <c r="A38" s="5" t="inlineStr">
        <is>
          <t>Douleurs</t>
        </is>
      </c>
      <c r="B38" s="5" t="inlineStr">
        <is>
          <t>gestion dossier vente immobilière</t>
        </is>
      </c>
      <c r="C38" s="5" t="inlineStr">
        <is>
          <t>Expression</t>
        </is>
      </c>
      <c r="D38" s="38" t="n">
        <v>2</v>
      </c>
      <c r="E38" s="11" t="inlineStr">
        <is>
          <t>Actif</t>
        </is>
      </c>
    </row>
    <row r="39">
      <c r="A39" s="5" t="inlineStr">
        <is>
          <t>IA</t>
        </is>
      </c>
      <c r="B39" s="5" t="inlineStr">
        <is>
          <t>ia agent immobilier</t>
        </is>
      </c>
      <c r="C39" s="5" t="inlineStr">
        <is>
          <t>Exact</t>
        </is>
      </c>
      <c r="D39" s="38" t="n">
        <v>2</v>
      </c>
      <c r="E39" s="11" t="inlineStr">
        <is>
          <t>Actif</t>
        </is>
      </c>
    </row>
    <row r="40">
      <c r="A40" s="5" t="inlineStr">
        <is>
          <t>IA</t>
        </is>
      </c>
      <c r="B40" s="5" t="inlineStr">
        <is>
          <t>ia agent immobilier</t>
        </is>
      </c>
      <c r="C40" s="5" t="inlineStr">
        <is>
          <t>Expression</t>
        </is>
      </c>
      <c r="D40" s="38" t="n">
        <v>2</v>
      </c>
      <c r="E40" s="11" t="inlineStr">
        <is>
          <t>Actif</t>
        </is>
      </c>
    </row>
    <row r="41">
      <c r="A41" s="5" t="inlineStr">
        <is>
          <t>IA</t>
        </is>
      </c>
      <c r="B41" s="5" t="inlineStr">
        <is>
          <t>intelligence artificielle immobilier</t>
        </is>
      </c>
      <c r="C41" s="5" t="inlineStr">
        <is>
          <t>Exact</t>
        </is>
      </c>
      <c r="D41" s="38" t="n">
        <v>2</v>
      </c>
      <c r="E41" s="11" t="inlineStr">
        <is>
          <t>Actif</t>
        </is>
      </c>
    </row>
    <row r="42">
      <c r="A42" s="5" t="inlineStr">
        <is>
          <t>IA</t>
        </is>
      </c>
      <c r="B42" s="5" t="inlineStr">
        <is>
          <t>intelligence artificielle immobilier</t>
        </is>
      </c>
      <c r="C42" s="5" t="inlineStr">
        <is>
          <t>Expression</t>
        </is>
      </c>
      <c r="D42" s="38" t="n">
        <v>2</v>
      </c>
      <c r="E42" s="11" t="inlineStr">
        <is>
          <t>Actif</t>
        </is>
      </c>
    </row>
    <row r="43">
      <c r="A43" s="5" t="inlineStr">
        <is>
          <t>IA</t>
        </is>
      </c>
      <c r="B43" s="5" t="inlineStr">
        <is>
          <t>assistant ia immobilier</t>
        </is>
      </c>
      <c r="C43" s="5" t="inlineStr">
        <is>
          <t>Exact</t>
        </is>
      </c>
      <c r="D43" s="38" t="n">
        <v>2</v>
      </c>
      <c r="E43" s="11" t="inlineStr">
        <is>
          <t>Actif</t>
        </is>
      </c>
    </row>
    <row r="44">
      <c r="A44" s="5" t="inlineStr">
        <is>
          <t>IA</t>
        </is>
      </c>
      <c r="B44" s="5" t="inlineStr">
        <is>
          <t>assistant ia immobilier</t>
        </is>
      </c>
      <c r="C44" s="5" t="inlineStr">
        <is>
          <t>Expression</t>
        </is>
      </c>
      <c r="D44" s="38" t="n">
        <v>2</v>
      </c>
      <c r="E44" s="11" t="inlineStr">
        <is>
          <t>Actif</t>
        </is>
      </c>
    </row>
    <row r="45">
      <c r="A45" s="5" t="inlineStr">
        <is>
          <t>IA</t>
        </is>
      </c>
      <c r="B45" s="5" t="inlineStr">
        <is>
          <t>ia conseiller immobilier</t>
        </is>
      </c>
      <c r="C45" s="5" t="inlineStr">
        <is>
          <t>Exact</t>
        </is>
      </c>
      <c r="D45" s="38" t="n">
        <v>2</v>
      </c>
      <c r="E45" s="11" t="inlineStr">
        <is>
          <t>Actif</t>
        </is>
      </c>
    </row>
    <row r="46">
      <c r="A46" s="5" t="inlineStr">
        <is>
          <t>IA</t>
        </is>
      </c>
      <c r="B46" s="5" t="inlineStr">
        <is>
          <t>ia conseiller immobilier</t>
        </is>
      </c>
      <c r="C46" s="5" t="inlineStr">
        <is>
          <t>Expression</t>
        </is>
      </c>
      <c r="D46" s="38" t="n">
        <v>2</v>
      </c>
      <c r="E46" s="11" t="inlineStr">
        <is>
          <t>Actif</t>
        </is>
      </c>
    </row>
    <row r="47">
      <c r="A47" s="5" t="inlineStr">
        <is>
          <t>IA</t>
        </is>
      </c>
      <c r="B47" s="5" t="inlineStr">
        <is>
          <t>chatgpt agent immobilier</t>
        </is>
      </c>
      <c r="C47" s="5" t="inlineStr">
        <is>
          <t>Exact</t>
        </is>
      </c>
      <c r="D47" s="38" t="n">
        <v>2</v>
      </c>
      <c r="E47" s="11" t="inlineStr">
        <is>
          <t>Actif</t>
        </is>
      </c>
    </row>
    <row r="48">
      <c r="A48" s="5" t="inlineStr">
        <is>
          <t>IA</t>
        </is>
      </c>
      <c r="B48" s="5" t="inlineStr">
        <is>
          <t>chatgpt agent immobilier</t>
        </is>
      </c>
      <c r="C48" s="5" t="inlineStr">
        <is>
          <t>Expression</t>
        </is>
      </c>
      <c r="D48" s="38" t="n">
        <v>2</v>
      </c>
      <c r="E48" s="11" t="inlineStr">
        <is>
          <t>Actif</t>
        </is>
      </c>
    </row>
    <row r="49">
      <c r="A49" s="5" t="inlineStr">
        <is>
          <t>IA</t>
        </is>
      </c>
      <c r="B49" s="5" t="inlineStr">
        <is>
          <t>outil ia immobilier</t>
        </is>
      </c>
      <c r="C49" s="5" t="inlineStr">
        <is>
          <t>Exact</t>
        </is>
      </c>
      <c r="D49" s="38" t="n">
        <v>2</v>
      </c>
      <c r="E49" s="11" t="inlineStr">
        <is>
          <t>Actif</t>
        </is>
      </c>
    </row>
    <row r="50">
      <c r="A50" s="5" t="inlineStr">
        <is>
          <t>IA</t>
        </is>
      </c>
      <c r="B50" s="5" t="inlineStr">
        <is>
          <t>outil ia immobilier</t>
        </is>
      </c>
      <c r="C50" s="5" t="inlineStr">
        <is>
          <t>Expression</t>
        </is>
      </c>
      <c r="D50" s="38" t="n">
        <v>2</v>
      </c>
      <c r="E50" s="11" t="inlineStr">
        <is>
          <t>Actif</t>
        </is>
      </c>
    </row>
    <row r="51">
      <c r="A51" s="5" t="inlineStr">
        <is>
          <t>Marque</t>
        </is>
      </c>
      <c r="B51" s="5" t="inlineStr">
        <is>
          <t>limo immobilier</t>
        </is>
      </c>
      <c r="C51" s="5" t="inlineStr">
        <is>
          <t>Exact</t>
        </is>
      </c>
      <c r="D51" s="38" t="n">
        <v>0.5</v>
      </c>
      <c r="E51" s="11" t="inlineStr">
        <is>
          <t>Actif</t>
        </is>
      </c>
    </row>
    <row r="52">
      <c r="A52" s="5" t="inlineStr">
        <is>
          <t>Marque</t>
        </is>
      </c>
      <c r="B52" s="5" t="inlineStr">
        <is>
          <t>limo immo</t>
        </is>
      </c>
      <c r="C52" s="5" t="inlineStr">
        <is>
          <t>Exact</t>
        </is>
      </c>
      <c r="D52" s="38" t="n">
        <v>0.5</v>
      </c>
      <c r="E52" s="11" t="inlineStr">
        <is>
          <t>Actif</t>
        </is>
      </c>
    </row>
    <row r="53">
      <c r="A53" s="5" t="inlineStr">
        <is>
          <t>Marque</t>
        </is>
      </c>
      <c r="B53" s="5" t="inlineStr">
        <is>
          <t>leadengine ai</t>
        </is>
      </c>
      <c r="C53" s="5" t="inlineStr">
        <is>
          <t>Exact</t>
        </is>
      </c>
      <c r="D53" s="38" t="n">
        <v>0.5</v>
      </c>
      <c r="E53" s="11" t="inlineStr">
        <is>
          <t>Actif</t>
        </is>
      </c>
    </row>
    <row r="55">
      <c r="A55" s="6" t="inlineStr">
        <is>
          <t>Note</t>
        </is>
      </c>
      <c r="B55" s="39" t="inlineStr">
        <is>
          <t>CPC max de départ = HYPOTHÈSE prudente ; ajuste selon le « CPC moyen » réel après 1 semaine. Marque = campagne séparée à petit budget. « chatgpt agent immobilier » : l'annonce ne doit pas laisser entendre que LIMO inclut ChatGPT.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9"/>
  <sheetViews>
    <sheetView showGridLines="0" workbookViewId="0">
      <selection activeCell="A1" sqref="A1"/>
    </sheetView>
  </sheetViews>
  <sheetFormatPr baseColWidth="8" defaultRowHeight="15"/>
  <cols>
    <col width="30" customWidth="1" min="1" max="1"/>
    <col width="60" customWidth="1" min="2" max="2"/>
  </cols>
  <sheetData>
    <row r="1">
      <c r="A1" s="1" t="inlineStr">
        <is>
          <t>Mots-clés négatifs — niveau campagne (requête large négative)</t>
        </is>
      </c>
    </row>
    <row r="3" ht="32" customHeight="1">
      <c r="A3" s="10" t="inlineStr">
        <is>
          <t>Mot-clé négatif</t>
        </is>
      </c>
      <c r="B3" s="10" t="inlineStr">
        <is>
          <t>Raison</t>
        </is>
      </c>
    </row>
    <row r="4">
      <c r="A4" s="5" t="inlineStr">
        <is>
          <t>emploi</t>
        </is>
      </c>
      <c r="B4" s="5" t="inlineStr">
        <is>
          <t>Chercheurs d'emploi</t>
        </is>
      </c>
    </row>
    <row r="5">
      <c r="A5" s="5" t="inlineStr">
        <is>
          <t>recrutement</t>
        </is>
      </c>
      <c r="B5" s="5" t="inlineStr">
        <is>
          <t>Chercheurs d'emploi</t>
        </is>
      </c>
    </row>
    <row r="6">
      <c r="A6" s="5" t="inlineStr">
        <is>
          <t>salaire</t>
        </is>
      </c>
      <c r="B6" s="5" t="inlineStr">
        <is>
          <t>Chercheurs d'emploi</t>
        </is>
      </c>
    </row>
    <row r="7">
      <c r="A7" s="5" t="inlineStr">
        <is>
          <t>devenir</t>
        </is>
      </c>
      <c r="B7" s="5" t="inlineStr">
        <is>
          <t>« devenir agent immobilier »</t>
        </is>
      </c>
    </row>
    <row r="8">
      <c r="A8" s="5" t="inlineStr">
        <is>
          <t>formation</t>
        </is>
      </c>
      <c r="B8" s="5" t="inlineStr">
        <is>
          <t>Futurs agents, pas clients</t>
        </is>
      </c>
    </row>
    <row r="9">
      <c r="A9" s="5" t="inlineStr">
        <is>
          <t>stage</t>
        </is>
      </c>
      <c r="B9" s="5" t="inlineStr">
        <is>
          <t>Étudiants</t>
        </is>
      </c>
    </row>
    <row r="10">
      <c r="A10" s="5" t="inlineStr">
        <is>
          <t>cpf</t>
        </is>
      </c>
      <c r="B10" s="5" t="inlineStr">
        <is>
          <t>Formation</t>
        </is>
      </c>
    </row>
    <row r="11">
      <c r="A11" s="5" t="inlineStr">
        <is>
          <t>bts</t>
        </is>
      </c>
      <c r="B11" s="5" t="inlineStr">
        <is>
          <t>Études</t>
        </is>
      </c>
    </row>
    <row r="12">
      <c r="A12" s="5" t="inlineStr">
        <is>
          <t>diplôme</t>
        </is>
      </c>
      <c r="B12" s="5" t="inlineStr">
        <is>
          <t>Études</t>
        </is>
      </c>
    </row>
    <row r="13">
      <c r="A13" s="5" t="inlineStr">
        <is>
          <t>école</t>
        </is>
      </c>
      <c r="B13" s="5" t="inlineStr">
        <is>
          <t>Études</t>
        </is>
      </c>
    </row>
    <row r="14">
      <c r="A14" s="5" t="inlineStr">
        <is>
          <t>location</t>
        </is>
      </c>
      <c r="B14" s="5" t="inlineStr">
        <is>
          <t>Particuliers locataires</t>
        </is>
      </c>
    </row>
    <row r="15">
      <c r="A15" s="5" t="inlineStr">
        <is>
          <t>louer</t>
        </is>
      </c>
      <c r="B15" s="5" t="inlineStr">
        <is>
          <t>Particuliers</t>
        </is>
      </c>
    </row>
    <row r="16">
      <c r="A16" s="5" t="inlineStr">
        <is>
          <t>appartement</t>
        </is>
      </c>
      <c r="B16" s="5" t="inlineStr">
        <is>
          <t>Particuliers acheteurs</t>
        </is>
      </c>
    </row>
    <row r="17">
      <c r="A17" s="5" t="inlineStr">
        <is>
          <t>maison à vendre</t>
        </is>
      </c>
      <c r="B17" s="5" t="inlineStr">
        <is>
          <t>Particuliers acheteurs</t>
        </is>
      </c>
    </row>
    <row r="18">
      <c r="A18" s="5" t="inlineStr">
        <is>
          <t>achat maison</t>
        </is>
      </c>
      <c r="B18" s="5" t="inlineStr">
        <is>
          <t>Particuliers</t>
        </is>
      </c>
    </row>
    <row r="19">
      <c r="A19" s="5" t="inlineStr">
        <is>
          <t>prix m2</t>
        </is>
      </c>
      <c r="B19" s="5" t="inlineStr">
        <is>
          <t>Particuliers</t>
        </is>
      </c>
    </row>
    <row r="20">
      <c r="A20" s="5" t="inlineStr">
        <is>
          <t>notaire frais</t>
        </is>
      </c>
      <c r="B20" s="5" t="inlineStr">
        <is>
          <t>Particuliers</t>
        </is>
      </c>
    </row>
    <row r="21">
      <c r="A21" s="5" t="inlineStr">
        <is>
          <t>crack</t>
        </is>
      </c>
      <c r="B21" s="5" t="inlineStr">
        <is>
          <t>Téléchargement illégal</t>
        </is>
      </c>
    </row>
    <row r="22">
      <c r="A22" s="5" t="inlineStr">
        <is>
          <t>pdf</t>
        </is>
      </c>
      <c r="B22" s="5" t="inlineStr">
        <is>
          <t>Recherche de documents</t>
        </is>
      </c>
    </row>
    <row r="23">
      <c r="A23" s="5" t="inlineStr">
        <is>
          <t>modèle</t>
        </is>
      </c>
      <c r="B23" s="5" t="inlineStr">
        <is>
          <t>Recherche de modèles gratuits</t>
        </is>
      </c>
    </row>
    <row r="24">
      <c r="A24" s="5" t="inlineStr">
        <is>
          <t>définition</t>
        </is>
      </c>
      <c r="B24" s="5" t="inlineStr">
        <is>
          <t>Recherche informationnelle</t>
        </is>
      </c>
    </row>
    <row r="25">
      <c r="A25" s="5" t="inlineStr">
        <is>
          <t>avis client</t>
        </is>
      </c>
      <c r="B25" s="5" t="inlineStr">
        <is>
          <t>Particuliers</t>
        </is>
      </c>
    </row>
    <row r="26">
      <c r="A26" s="5" t="inlineStr">
        <is>
          <t>syndic</t>
        </is>
      </c>
      <c r="B26" s="5" t="inlineStr">
        <is>
          <t>Hors cible</t>
        </is>
      </c>
    </row>
    <row r="27">
      <c r="A27" s="5" t="inlineStr">
        <is>
          <t>gestion locative</t>
        </is>
      </c>
      <c r="B27" s="5" t="inlineStr">
        <is>
          <t>Hors cible (à revoir si LIMO l'adresse)</t>
        </is>
      </c>
    </row>
    <row r="29">
      <c r="A29" s="34" t="inlineStr">
        <is>
          <t>Chaque semaine : Google Ads → Mots-clés → Termes de recherche → ajouter ici tout terme hors sujet.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2026-10-01T18:26:22Z</dcterms:created>
  <dcterms:modified xsi:type="dcterms:W3CDTF">2026-10-01T18:26:22Z</dcterms:modified>
</cp:coreProperties>
</file>